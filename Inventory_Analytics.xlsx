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ategory Summary" sheetId="2" state="visible" r:id="rId4"/>
    <sheet name="SKU Summary" sheetId="3" state="visible" r:id="rId5"/>
    <sheet name="Store Summary" sheetId="4" state="visible" r:id="rId6"/>
    <sheet name="Month Summary" sheetId="5" state="visible" r:id="rId7"/>
    <sheet name="Dashboard" sheetId="6" state="visible" r:id="rId8"/>
    <sheet name="Assumptions &amp; 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<sst xmlns="http://schemas.openxmlformats.org/spreadsheetml/2006/main" count="1552" uniqueCount="80">
  <si>
    <t xml:space="preserve">Month</t>
  </si>
  <si>
    <t xml:space="preserve">Store</t>
  </si>
  <si>
    <t xml:space="preserve">SKU</t>
  </si>
  <si>
    <t xml:space="preserve">Product Name</t>
  </si>
  <si>
    <t xml:space="preserve">Category</t>
  </si>
  <si>
    <t xml:space="preserve">Unit Price</t>
  </si>
  <si>
    <t xml:space="preserve">Avg Daily Demand</t>
  </si>
  <si>
    <t xml:space="preserve">Days in Month</t>
  </si>
  <si>
    <t xml:space="preserve">Days Out of Stock</t>
  </si>
  <si>
    <t xml:space="preserve">Days In Stock</t>
  </si>
  <si>
    <t xml:space="preserve">Units Sold</t>
  </si>
  <si>
    <t xml:space="preserve">Lost Sales ($)</t>
  </si>
  <si>
    <t xml:space="preserve">Avg Inventory (units)</t>
  </si>
  <si>
    <t xml:space="preserve">Inventory Turns</t>
  </si>
  <si>
    <t xml:space="preserve">Tier</t>
  </si>
  <si>
    <t xml:space="preserve">2026-01</t>
  </si>
  <si>
    <t xml:space="preserve">Downtown</t>
  </si>
  <si>
    <t xml:space="preserve">KIT-101</t>
  </si>
  <si>
    <t xml:space="preserve">Ceramic Nonstick Pan Set</t>
  </si>
  <si>
    <t xml:space="preserve">Kitchen</t>
  </si>
  <si>
    <t xml:space="preserve">fast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</si>
  <si>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</si>
  <si>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</si>
  <si>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</si>
  <si>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</si>
  <si>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</si>
  <si>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Uptown</t>
  </si>
  <si>
    <t xml:space="preserve">Suburb</t>
  </si>
  <si>
    <t xml:space="preserve">Riverside</t>
  </si>
  <si>
    <t xml:space="preserve">KIT-102</t>
  </si>
  <si>
    <t xml:space="preserve">Glass Storage Container Set</t>
  </si>
  <si>
    <t xml:space="preserve">slow</t>
  </si>
  <si>
    <t xml:space="preserve">BED-201</t>
  </si>
  <si>
    <t xml:space="preserve">Cooling Bamboo Sheet Set</t>
  </si>
  <si>
    <t xml:space="preserve">Bedding</t>
  </si>
  <si>
    <t xml:space="preserve">BED-202</t>
  </si>
  <si>
    <t xml:space="preserve">Decorative Throw Pillow</t>
  </si>
  <si>
    <t xml:space="preserve">STO-301</t>
  </si>
  <si>
    <t xml:space="preserve">Stackable Closet Bins</t>
  </si>
  <si>
    <t xml:space="preserve">Storage</t>
  </si>
  <si>
    <t xml:space="preserve">STO-302</t>
  </si>
  <si>
    <t xml:space="preserve">Under-Bed Storage Box</t>
  </si>
  <si>
    <t xml:space="preserve">DEC-401</t>
  </si>
  <si>
    <t xml:space="preserve">Scented Soy Candle 3-Pack</t>
  </si>
  <si>
    <t xml:space="preserve">Decor</t>
  </si>
  <si>
    <t xml:space="preserve">DEC-402</t>
  </si>
  <si>
    <t xml:space="preserve">Wall Art Canvas Print</t>
  </si>
  <si>
    <t xml:space="preserve">OUT-501</t>
  </si>
  <si>
    <t xml:space="preserve">Folding Patio Chair</t>
  </si>
  <si>
    <t xml:space="preserve">Outdoor</t>
  </si>
  <si>
    <t xml:space="preserve">OUT-502</t>
  </si>
  <si>
    <t xml:space="preserve">Garden Planter Pot</t>
  </si>
  <si>
    <t xml:space="preserve">Total Lost Sales ($)</t>
  </si>
  <si>
    <t xml:space="preserve">Total Units Sold</t>
  </si>
  <si>
    <t xml:space="preserve">Avg Stockout Days/Month</t>
  </si>
  <si>
    <t xml:space="preserve">Avg Inventory Turns</t>
  </si>
  <si>
    <t xml:space="preserve">6-Month Total</t>
  </si>
  <si>
    <t xml:space="preserve">Annualized Estimate (6-mo sample x2)</t>
  </si>
  <si>
    <t xml:space="preserve">Inventory Stockout &amp; Overstock Analytics — Meridian Home Goods</t>
  </si>
  <si>
    <t xml:space="preserve">6-month sample, Jan–Jun 2026, across 4 stores and 10 SKUs</t>
  </si>
  <si>
    <t xml:space="preserve">Key Metrics</t>
  </si>
  <si>
    <t xml:space="preserve">Total Lost Sales (6-mo sample)</t>
  </si>
  <si>
    <t xml:space="preserve">Annualized Lost Sales Estimate</t>
  </si>
  <si>
    <t xml:space="preserve">Fast-Mover Avg Inventory Turns</t>
  </si>
  <si>
    <t xml:space="preserve">Slow-Mover Avg Inventory Turns</t>
  </si>
  <si>
    <t xml:space="preserve">Assumptions &amp; Notes</t>
  </si>
  <si>
    <t xml:space="preserve">1. Data source: Synthetic dataset constructed for this portfolio case study — not real company data.</t>
  </si>
  <si>
    <t xml:space="preserve">2. Sample window: 6 months (Jan–Jun 2026), 4 stores, 10 SKUs across 5 categories (2 SKUs per category).</t>
  </si>
  <si>
    <t xml:space="preserve">3. Demand assumption: when a SKU is in stock, 100% of average daily demand is assumed sold (no substitution modeled).</t>
  </si>
  <si>
    <t xml:space="preserve">4. Lost Sales ($) = Days Out of Stock x Avg Daily Demand x Unit Price — this values forgone revenue at full retail</t>
  </si>
  <si>
    <t xml:space="preserve">   price during stockout days; it is not margin-adjusted.</t>
  </si>
  <si>
    <t xml:space="preserve">5. Inventory Turns = Units Sold / Avg Inventory (units) for the sample period — a simplified proxy, not an annualized</t>
  </si>
  <si>
    <t xml:space="preserve">   turns ratio.</t>
  </si>
  <si>
    <t xml:space="preserve">6. Annualized Lost Sales Estimate = 6-month sample total x 2, shown on the Month Summary and Dashboard tabs.</t>
  </si>
  <si>
    <t xml:space="preserve">   This is a straight-line extrapolation and does not account for seasonality.</t>
  </si>
  <si>
    <t xml:space="preserve">7. 'Fast' tier = the 5 highest-demand SKUs (one per category); 'Slow' tier = the 5 lowest-demand SKUs (one per</t>
  </si>
  <si>
    <t xml:space="preserve">   category) — assigned by design to illustrate the stockout-vs-overstock pattern described in the Business Case.</t>
  </si>
  <si>
    <t xml:space="preserve">8. Capital tied up in slow-moving SKUs ($41,984, cited in Business_Case.md) is a snapshot calculation: average</t>
  </si>
  <si>
    <t xml:space="preserve">   on-hand units x unit price, summed across all slow-tier SKU/store combinations — not shown as a formula in this</t>
  </si>
  <si>
    <t xml:space="preserve">   workbook, but reproducible from the 'Avg Inventory (units)' and 'Unit Price' columns on Raw Data.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</si>
</sst>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General"/>
    <numFmt numFmtId="167" formatCode="\$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Lost Sales by SKU ($, 6-month total)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'SKU Summary'!E1</c:f>
              <c:strCache>
                <c:ptCount val="1"/>
                <c:pt idx="0">
                  <c:v>Total Lost Sales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'SKU Summary'!$B$2:$B$11</c:f>
              <c:strCache>
                <c:ptCount val="10"/>
                <c:pt idx="0">
                  <c:v>Cooling Bamboo Sheet Set</c:v>
                </c:pt>
                <c:pt idx="1">
                  <c:v>Folding Patio Chair</c:v>
                </c:pt>
                <c:pt idx="2">
                  <c:v>Ceramic Nonstick Pan Set</c:v>
                </c:pt>
                <c:pt idx="3">
                  <c:v>Scented Soy Candle 3-Pack</c:v>
                </c:pt>
                <c:pt idx="4">
                  <c:v>Stackable Closet Bins</c:v>
                </c:pt>
                <c:pt idx="5">
                  <c:v>Wall Art Canvas Print</c:v>
                </c:pt>
                <c:pt idx="6">
                  <c:v>Glass Storage Container Set</c:v>
                </c:pt>
                <c:pt idx="7">
                  <c:v>Under-Bed Storage Box</c:v>
                </c:pt>
                <c:pt idx="8">
                  <c:v>Decorative Throw Pillow</c:v>
                </c:pt>
                <c:pt idx="9">
                  <c:v>Garden Planter Pot</c:v>
                </c:pt>
              </c:strCache>
            </c:strRef>
          </c:cat>
          <c:val>
            <c:numRef>
              <c:f>'SKU Summary'!$E$2:$E$11</c:f>
              <c:numCache>
                <c:formatCode>\$#,##0</c:formatCode>
                <c:ptCount val="10"/>
                <c:pt idx="0">
                  <c:v>122958</c:v>
                </c:pt>
                <c:pt idx="1">
                  <c:v>108168.5</c:v>
                </c:pt>
                <c:pt idx="2">
                  <c:v>86413.5</c:v>
                </c:pt>
                <c:pt idx="3">
                  <c:v>65060.8</c:v>
                </c:pt>
                <c:pt idx="4">
                  <c:v>51875</c:v>
                </c:pt>
                <c:pt idx="5">
                  <c:v>2695</c:v>
                </c:pt>
                <c:pt idx="6">
                  <c:v>1947</c:v>
                </c:pt>
                <c:pt idx="7">
                  <c:v>1804</c:v>
                </c:pt>
                <c:pt idx="8">
                  <c:v>1485</c:v>
                </c:pt>
                <c:pt idx="9">
                  <c:v>1162.5</c:v>
                </c:pt>
              </c:numCache>
            </c:numRef>
          </c:val>
        </c:ser>
        <c:gapWidth val="150"/>
        <c:overlap val="0"/>
        <c:axId val="61953906"/>
        <c:axId val="48518649"/>
      </c:barChart>
      <c:catAx>
        <c:axId val="619539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18649"/>
        <c:crosses val="autoZero"/>
        <c:auto val="1"/>
        <c:lblAlgn val="ctr"/>
        <c:lblOffset val="100"/>
        <c:noMultiLvlLbl val="0"/>
      </c:catAx>
      <c:valAx>
        <c:axId val="485186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Lost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9539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Inventory Turns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Summary'!E1</c:f>
              <c:strCache>
                <c:ptCount val="1"/>
                <c:pt idx="0">
                  <c:v>Avg Inventory Turns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Summary'!$A$2:$A$6</c:f>
              <c:strCache>
                <c:ptCount val="5"/>
                <c:pt idx="0">
                  <c:v>Bedding</c:v>
                </c:pt>
                <c:pt idx="1">
                  <c:v>Outdoor</c:v>
                </c:pt>
                <c:pt idx="2">
                  <c:v>Kitchen</c:v>
                </c:pt>
                <c:pt idx="3">
                  <c:v>Decor</c:v>
                </c:pt>
                <c:pt idx="4">
                  <c:v>Storage</c:v>
                </c:pt>
              </c:strCache>
            </c:strRef>
          </c:cat>
          <c:val>
            <c:numRef>
              <c:f>'Category Summary'!$E$2:$E$6</c:f>
              <c:numCache>
                <c:formatCode>General</c:formatCode>
                <c:ptCount val="5"/>
                <c:pt idx="0">
                  <c:v>5.42</c:v>
                </c:pt>
                <c:pt idx="1">
                  <c:v>5.4</c:v>
                </c:pt>
                <c:pt idx="2">
                  <c:v>5.52</c:v>
                </c:pt>
                <c:pt idx="3">
                  <c:v>4.76</c:v>
                </c:pt>
                <c:pt idx="4">
                  <c:v>5.4</c:v>
                </c:pt>
              </c:numCache>
            </c:numRef>
          </c:val>
        </c:ser>
        <c:gapWidth val="150"/>
        <c:overlap val="0"/>
        <c:axId val="46830358"/>
        <c:axId val="67349624"/>
      </c:barChart>
      <c:catAx>
        <c:axId val="468303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49624"/>
        <c:crosses val="autoZero"/>
        <c:auto val="1"/>
        <c:lblAlgn val="ctr"/>
        <c:lblOffset val="100"/>
        <c:noMultiLvlLbl val="0"/>
      </c:catAx>
      <c:valAx>
        <c:axId val="673496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Turns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8303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Lost Sales Trend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 Summary'!B1</c:f>
              <c:strCache>
                <c:ptCount val="1"/>
                <c:pt idx="0">
                  <c:v>Total Lost Sales ($)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 Summary'!$A$2:$A$7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'Month Summary'!$B$2:$B$7</c:f>
              <c:numCache>
                <c:formatCode>\$#,##0</c:formatCode>
                <c:ptCount val="6"/>
                <c:pt idx="0">
                  <c:v>77942.3</c:v>
                </c:pt>
                <c:pt idx="1">
                  <c:v>74741.6</c:v>
                </c:pt>
                <c:pt idx="2">
                  <c:v>72658.7</c:v>
                </c:pt>
                <c:pt idx="3">
                  <c:v>72906.5</c:v>
                </c:pt>
                <c:pt idx="4">
                  <c:v>66454.1</c:v>
                </c:pt>
                <c:pt idx="5">
                  <c:v>78866.1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762779"/>
        <c:axId val="17641406"/>
      </c:lineChart>
      <c:catAx>
        <c:axId val="727627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41406"/>
        <c:crosses val="autoZero"/>
        <c:auto val="1"/>
        <c:lblAlgn val="ctr"/>
        <c:lblOffset val="100"/>
        <c:noMultiLvlLbl val="0"/>
      </c:catAx>
      <c:valAx>
        <c:axId val="176414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Lost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627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10</xdr:col>
      <xdr:colOff>1084680</xdr:colOff>
      <xdr:row>21</xdr:row>
      <xdr:rowOff>141120</xdr:rowOff>
    </xdr:to>
    <xdr:graphicFrame>
      <xdr:nvGraphicFramePr>
        <xdr:cNvPr id="0" name="Chart 1"/>
        <xdr:cNvGraphicFramePr/>
      </xdr:nvGraphicFramePr>
      <xdr:xfrm>
        <a:off x="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20</xdr:row>
      <xdr:rowOff>160920</xdr:rowOff>
    </xdr:from>
    <xdr:to>
      <xdr:col>10</xdr:col>
      <xdr:colOff>1084680</xdr:colOff>
      <xdr:row>39</xdr:row>
      <xdr:rowOff>141120</xdr:rowOff>
    </xdr:to>
    <xdr:graphicFrame>
      <xdr:nvGraphicFramePr>
        <xdr:cNvPr id="1" name="Chart 2"/>
        <xdr:cNvGraphicFramePr/>
      </xdr:nvGraphicFramePr>
      <xdr:xfrm>
        <a:off x="0" y="4000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2</xdr:row>
      <xdr:rowOff>160920</xdr:rowOff>
    </xdr:from>
    <xdr:to>
      <xdr:col>18</xdr:col>
      <xdr:colOff>429120</xdr:colOff>
      <xdr:row>21</xdr:row>
      <xdr:rowOff>141120</xdr:rowOff>
    </xdr:to>
    <xdr:graphicFrame>
      <xdr:nvGraphicFramePr>
        <xdr:cNvPr id="2" name="Chart 3"/>
        <xdr:cNvGraphicFramePr/>
      </xdr:nvGraphicFramePr>
      <xdr:xfrm>
        <a:off x="611496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6" min="5" style="0" width="11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4" t="n">
        <v>45</v>
      </c>
      <c r="G2" s="3" t="n">
        <v>14.2</v>
      </c>
      <c r="H2" s="3" t="n">
        <v>31</v>
      </c>
      <c r="I2" s="3" t="n">
        <v>4</v>
      </c>
      <c r="J2" s="5" t="n">
        <f aca="false">H2-I2</f>
        <v>27</v>
      </c>
      <c r="K2" s="5" t="n">
        <f aca="false">ROUND(G2*J2,0)</f>
        <v>383</v>
      </c>
      <c r="L2" s="6" t="n">
        <f aca="false">ROUND(I2*G2*F2,2)</f>
        <v>2556</v>
      </c>
      <c r="M2" s="3" t="n">
        <v>33.5</v>
      </c>
      <c r="N2" s="5" t="n">
        <f aca="false">IFERROR(ROUND(K2/M2,2),0)</f>
        <v>11.43</v>
      </c>
      <c r="O2" s="3" t="s">
        <v>20</v>
      </c>
    </row>
    <row r="3" customFormat="false" ht="15" hidden="false" customHeight="false" outlineLevel="0" collapsed="false">
      <c r="A3" s="3" t="s">
        <v>21</v>
      </c>
      <c r="B3" s="3" t="s">
        <v>16</v>
      </c>
      <c r="C3" s="3" t="s">
        <v>17</v>
      </c>
      <c r="D3" s="3" t="s">
        <v>18</v>
      </c>
      <c r="E3" s="3" t="s">
        <v>19</v>
      </c>
      <c r="F3" s="4" t="n">
        <v>45</v>
      </c>
      <c r="G3" s="3" t="n">
        <v>11.4</v>
      </c>
      <c r="H3" s="3" t="n">
        <v>28</v>
      </c>
      <c r="I3" s="3" t="n">
        <v>6</v>
      </c>
      <c r="J3" s="5" t="n">
        <f aca="false">H3-I3</f>
        <v>22</v>
      </c>
      <c r="K3" s="5" t="n">
        <f aca="false">ROUND(G3*J3,0)</f>
        <v>251</v>
      </c>
      <c r="L3" s="6" t="n">
        <f aca="false">ROUND(I3*G3*F3,2)</f>
        <v>3078</v>
      </c>
      <c r="M3" s="3" t="n">
        <v>33.4</v>
      </c>
      <c r="N3" s="5" t="n">
        <f aca="false">IFERROR(ROUND(K3/M3,2),0)</f>
        <v>7.51</v>
      </c>
      <c r="O3" s="3" t="s">
        <v>20</v>
      </c>
    </row>
    <row r="4" customFormat="false" ht="15" hidden="false" customHeight="false" outlineLevel="0" collapsed="false">
      <c r="A4" s="3" t="s">
        <v>22</v>
      </c>
      <c r="B4" s="3" t="s">
        <v>16</v>
      </c>
      <c r="C4" s="3" t="s">
        <v>17</v>
      </c>
      <c r="D4" s="3" t="s">
        <v>18</v>
      </c>
      <c r="E4" s="3" t="s">
        <v>19</v>
      </c>
      <c r="F4" s="4" t="n">
        <v>45</v>
      </c>
      <c r="G4" s="3" t="n">
        <v>14.5</v>
      </c>
      <c r="H4" s="3" t="n">
        <v>31</v>
      </c>
      <c r="I4" s="3" t="n">
        <v>12</v>
      </c>
      <c r="J4" s="5" t="n">
        <f aca="false">H4-I4</f>
        <v>19</v>
      </c>
      <c r="K4" s="5" t="n">
        <f aca="false">ROUND(G4*J4,0)</f>
        <v>276</v>
      </c>
      <c r="L4" s="6" t="n">
        <f aca="false">ROUND(I4*G4*F4,2)</f>
        <v>7830</v>
      </c>
      <c r="M4" s="3" t="n">
        <v>17.2</v>
      </c>
      <c r="N4" s="5" t="n">
        <f aca="false">IFERROR(ROUND(K4/M4,2),0)</f>
        <v>16.05</v>
      </c>
      <c r="O4" s="3" t="s">
        <v>20</v>
      </c>
    </row>
    <row r="5" customFormat="false" ht="15" hidden="false" customHeight="false" outlineLevel="0" collapsed="false">
      <c r="A5" s="3" t="s">
        <v>23</v>
      </c>
      <c r="B5" s="3" t="s">
        <v>16</v>
      </c>
      <c r="C5" s="3" t="s">
        <v>17</v>
      </c>
      <c r="D5" s="3" t="s">
        <v>18</v>
      </c>
      <c r="E5" s="3" t="s">
        <v>19</v>
      </c>
      <c r="F5" s="4" t="n">
        <v>45</v>
      </c>
      <c r="G5" s="3" t="n">
        <v>12.6</v>
      </c>
      <c r="H5" s="3" t="n">
        <v>30</v>
      </c>
      <c r="I5" s="3" t="n">
        <v>4</v>
      </c>
      <c r="J5" s="5" t="n">
        <f aca="false">H5-I5</f>
        <v>26</v>
      </c>
      <c r="K5" s="5" t="n">
        <f aca="false">ROUND(G5*J5,0)</f>
        <v>328</v>
      </c>
      <c r="L5" s="6" t="n">
        <f aca="false">ROUND(I5*G5*F5,2)</f>
        <v>2268</v>
      </c>
      <c r="M5" s="3" t="n">
        <v>17.3</v>
      </c>
      <c r="N5" s="5" t="n">
        <f aca="false">IFERROR(ROUND(K5/M5,2),0)</f>
        <v>18.96</v>
      </c>
      <c r="O5" s="3" t="s">
        <v>20</v>
      </c>
    </row>
    <row r="6" customFormat="false" ht="15" hidden="false" customHeight="false" outlineLevel="0" collapsed="false">
      <c r="A6" s="3" t="s">
        <v>24</v>
      </c>
      <c r="B6" s="3" t="s">
        <v>16</v>
      </c>
      <c r="C6" s="3" t="s">
        <v>17</v>
      </c>
      <c r="D6" s="3" t="s">
        <v>18</v>
      </c>
      <c r="E6" s="3" t="s">
        <v>19</v>
      </c>
      <c r="F6" s="4" t="n">
        <v>45</v>
      </c>
      <c r="G6" s="3" t="n">
        <v>11.3</v>
      </c>
      <c r="H6" s="3" t="n">
        <v>31</v>
      </c>
      <c r="I6" s="3" t="n">
        <v>4</v>
      </c>
      <c r="J6" s="5" t="n">
        <f aca="false">H6-I6</f>
        <v>27</v>
      </c>
      <c r="K6" s="5" t="n">
        <f aca="false">ROUND(G6*J6,0)</f>
        <v>305</v>
      </c>
      <c r="L6" s="6" t="n">
        <f aca="false">ROUND(I6*G6*F6,2)</f>
        <v>2034</v>
      </c>
      <c r="M6" s="3" t="n">
        <v>29</v>
      </c>
      <c r="N6" s="5" t="n">
        <f aca="false">IFERROR(ROUND(K6/M6,2),0)</f>
        <v>10.52</v>
      </c>
      <c r="O6" s="3" t="s">
        <v>20</v>
      </c>
    </row>
    <row r="7" customFormat="false" ht="15" hidden="false" customHeight="false" outlineLevel="0" collapsed="false">
      <c r="A7" s="3" t="s">
        <v>25</v>
      </c>
      <c r="B7" s="3" t="s">
        <v>16</v>
      </c>
      <c r="C7" s="3" t="s">
        <v>17</v>
      </c>
      <c r="D7" s="3" t="s">
        <v>18</v>
      </c>
      <c r="E7" s="3" t="s">
        <v>19</v>
      </c>
      <c r="F7" s="4" t="n">
        <v>45</v>
      </c>
      <c r="G7" s="3" t="n">
        <v>14.8</v>
      </c>
      <c r="H7" s="3" t="n">
        <v>30</v>
      </c>
      <c r="I7" s="3" t="n">
        <v>12</v>
      </c>
      <c r="J7" s="5" t="n">
        <f aca="false">H7-I7</f>
        <v>18</v>
      </c>
      <c r="K7" s="5" t="n">
        <f aca="false">ROUND(G7*J7,0)</f>
        <v>266</v>
      </c>
      <c r="L7" s="6" t="n">
        <f aca="false">ROUND(I7*G7*F7,2)</f>
        <v>7992</v>
      </c>
      <c r="M7" s="3" t="n">
        <v>25.5</v>
      </c>
      <c r="N7" s="5" t="n">
        <f aca="false">IFERROR(ROUND(K7/M7,2),0)</f>
        <v>10.43</v>
      </c>
      <c r="O7" s="3" t="s">
        <v>20</v>
      </c>
    </row>
    <row r="8" customFormat="false" ht="15" hidden="false" customHeight="false" outlineLevel="0" collapsed="false">
      <c r="A8" s="3" t="s">
        <v>15</v>
      </c>
      <c r="B8" s="3" t="s">
        <v>26</v>
      </c>
      <c r="C8" s="3" t="s">
        <v>17</v>
      </c>
      <c r="D8" s="3" t="s">
        <v>18</v>
      </c>
      <c r="E8" s="3" t="s">
        <v>19</v>
      </c>
      <c r="F8" s="4" t="n">
        <v>45</v>
      </c>
      <c r="G8" s="3" t="n">
        <v>10.7</v>
      </c>
      <c r="H8" s="3" t="n">
        <v>31</v>
      </c>
      <c r="I8" s="3" t="n">
        <v>8</v>
      </c>
      <c r="J8" s="5" t="n">
        <f aca="false">H8-I8</f>
        <v>23</v>
      </c>
      <c r="K8" s="5" t="n">
        <f aca="false">ROUND(G8*J8,0)</f>
        <v>246</v>
      </c>
      <c r="L8" s="6" t="n">
        <f aca="false">ROUND(I8*G8*F8,2)</f>
        <v>3852</v>
      </c>
      <c r="M8" s="3" t="n">
        <v>35.2</v>
      </c>
      <c r="N8" s="5" t="n">
        <f aca="false">IFERROR(ROUND(K8/M8,2),0)</f>
        <v>6.99</v>
      </c>
      <c r="O8" s="3" t="s">
        <v>20</v>
      </c>
    </row>
    <row r="9" customFormat="false" ht="15" hidden="false" customHeight="false" outlineLevel="0" collapsed="false">
      <c r="A9" s="3" t="s">
        <v>21</v>
      </c>
      <c r="B9" s="3" t="s">
        <v>26</v>
      </c>
      <c r="C9" s="3" t="s">
        <v>17</v>
      </c>
      <c r="D9" s="3" t="s">
        <v>18</v>
      </c>
      <c r="E9" s="3" t="s">
        <v>19</v>
      </c>
      <c r="F9" s="4" t="n">
        <v>45</v>
      </c>
      <c r="G9" s="3" t="n">
        <v>8</v>
      </c>
      <c r="H9" s="3" t="n">
        <v>28</v>
      </c>
      <c r="I9" s="3" t="n">
        <v>6</v>
      </c>
      <c r="J9" s="5" t="n">
        <f aca="false">H9-I9</f>
        <v>22</v>
      </c>
      <c r="K9" s="5" t="n">
        <f aca="false">ROUND(G9*J9,0)</f>
        <v>176</v>
      </c>
      <c r="L9" s="6" t="n">
        <f aca="false">ROUND(I9*G9*F9,2)</f>
        <v>2160</v>
      </c>
      <c r="M9" s="3" t="n">
        <v>32.5</v>
      </c>
      <c r="N9" s="5" t="n">
        <f aca="false">IFERROR(ROUND(K9/M9,2),0)</f>
        <v>5.42</v>
      </c>
      <c r="O9" s="3" t="s">
        <v>20</v>
      </c>
    </row>
    <row r="10" customFormat="false" ht="15" hidden="false" customHeight="false" outlineLevel="0" collapsed="false">
      <c r="A10" s="3" t="s">
        <v>22</v>
      </c>
      <c r="B10" s="3" t="s">
        <v>26</v>
      </c>
      <c r="C10" s="3" t="s">
        <v>17</v>
      </c>
      <c r="D10" s="3" t="s">
        <v>18</v>
      </c>
      <c r="E10" s="3" t="s">
        <v>19</v>
      </c>
      <c r="F10" s="4" t="n">
        <v>45</v>
      </c>
      <c r="G10" s="3" t="n">
        <v>10</v>
      </c>
      <c r="H10" s="3" t="n">
        <v>31</v>
      </c>
      <c r="I10" s="3" t="n">
        <v>6</v>
      </c>
      <c r="J10" s="5" t="n">
        <f aca="false">H10-I10</f>
        <v>25</v>
      </c>
      <c r="K10" s="5" t="n">
        <f aca="false">ROUND(G10*J10,0)</f>
        <v>250</v>
      </c>
      <c r="L10" s="6" t="n">
        <f aca="false">ROUND(I10*G10*F10,2)</f>
        <v>2700</v>
      </c>
      <c r="M10" s="3" t="n">
        <v>20.4</v>
      </c>
      <c r="N10" s="5" t="n">
        <f aca="false">IFERROR(ROUND(K10/M10,2),0)</f>
        <v>12.25</v>
      </c>
      <c r="O10" s="3" t="s">
        <v>20</v>
      </c>
    </row>
    <row r="11" customFormat="false" ht="15" hidden="false" customHeight="false" outlineLevel="0" collapsed="false">
      <c r="A11" s="3" t="s">
        <v>23</v>
      </c>
      <c r="B11" s="3" t="s">
        <v>26</v>
      </c>
      <c r="C11" s="3" t="s">
        <v>17</v>
      </c>
      <c r="D11" s="3" t="s">
        <v>18</v>
      </c>
      <c r="E11" s="3" t="s">
        <v>19</v>
      </c>
      <c r="F11" s="4" t="n">
        <v>45</v>
      </c>
      <c r="G11" s="3" t="n">
        <v>12.6</v>
      </c>
      <c r="H11" s="3" t="n">
        <v>30</v>
      </c>
      <c r="I11" s="3" t="n">
        <v>5</v>
      </c>
      <c r="J11" s="5" t="n">
        <f aca="false">H11-I11</f>
        <v>25</v>
      </c>
      <c r="K11" s="5" t="n">
        <f aca="false">ROUND(G11*J11,0)</f>
        <v>315</v>
      </c>
      <c r="L11" s="6" t="n">
        <f aca="false">ROUND(I11*G11*F11,2)</f>
        <v>2835</v>
      </c>
      <c r="M11" s="3" t="n">
        <v>17.3</v>
      </c>
      <c r="N11" s="5" t="n">
        <f aca="false">IFERROR(ROUND(K11/M11,2),0)</f>
        <v>18.21</v>
      </c>
      <c r="O11" s="3" t="s">
        <v>20</v>
      </c>
    </row>
    <row r="12" customFormat="false" ht="15" hidden="false" customHeight="false" outlineLevel="0" collapsed="false">
      <c r="A12" s="3" t="s">
        <v>24</v>
      </c>
      <c r="B12" s="3" t="s">
        <v>26</v>
      </c>
      <c r="C12" s="3" t="s">
        <v>17</v>
      </c>
      <c r="D12" s="3" t="s">
        <v>18</v>
      </c>
      <c r="E12" s="3" t="s">
        <v>19</v>
      </c>
      <c r="F12" s="4" t="n">
        <v>45</v>
      </c>
      <c r="G12" s="3" t="n">
        <v>8.6</v>
      </c>
      <c r="H12" s="3" t="n">
        <v>31</v>
      </c>
      <c r="I12" s="3" t="n">
        <v>9</v>
      </c>
      <c r="J12" s="5" t="n">
        <f aca="false">H12-I12</f>
        <v>22</v>
      </c>
      <c r="K12" s="5" t="n">
        <f aca="false">ROUND(G12*J12,0)</f>
        <v>189</v>
      </c>
      <c r="L12" s="6" t="n">
        <f aca="false">ROUND(I12*G12*F12,2)</f>
        <v>3483</v>
      </c>
      <c r="M12" s="3" t="n">
        <v>30.1</v>
      </c>
      <c r="N12" s="5" t="n">
        <f aca="false">IFERROR(ROUND(K12/M12,2),0)</f>
        <v>6.28</v>
      </c>
      <c r="O12" s="3" t="s">
        <v>20</v>
      </c>
    </row>
    <row r="13" customFormat="false" ht="15" hidden="false" customHeight="false" outlineLevel="0" collapsed="false">
      <c r="A13" s="3" t="s">
        <v>25</v>
      </c>
      <c r="B13" s="3" t="s">
        <v>26</v>
      </c>
      <c r="C13" s="3" t="s">
        <v>17</v>
      </c>
      <c r="D13" s="3" t="s">
        <v>18</v>
      </c>
      <c r="E13" s="3" t="s">
        <v>19</v>
      </c>
      <c r="F13" s="4" t="n">
        <v>45</v>
      </c>
      <c r="G13" s="3" t="n">
        <v>12.8</v>
      </c>
      <c r="H13" s="3" t="n">
        <v>30</v>
      </c>
      <c r="I13" s="3" t="n">
        <v>11</v>
      </c>
      <c r="J13" s="5" t="n">
        <f aca="false">H13-I13</f>
        <v>19</v>
      </c>
      <c r="K13" s="5" t="n">
        <f aca="false">ROUND(G13*J13,0)</f>
        <v>243</v>
      </c>
      <c r="L13" s="6" t="n">
        <f aca="false">ROUND(I13*G13*F13,2)</f>
        <v>6336</v>
      </c>
      <c r="M13" s="3" t="n">
        <v>28.4</v>
      </c>
      <c r="N13" s="5" t="n">
        <f aca="false">IFERROR(ROUND(K13/M13,2),0)</f>
        <v>8.56</v>
      </c>
      <c r="O13" s="3" t="s">
        <v>20</v>
      </c>
    </row>
    <row r="14" customFormat="false" ht="15" hidden="false" customHeight="false" outlineLevel="0" collapsed="false">
      <c r="A14" s="3" t="s">
        <v>15</v>
      </c>
      <c r="B14" s="3" t="s">
        <v>27</v>
      </c>
      <c r="C14" s="3" t="s">
        <v>17</v>
      </c>
      <c r="D14" s="3" t="s">
        <v>18</v>
      </c>
      <c r="E14" s="3" t="s">
        <v>19</v>
      </c>
      <c r="F14" s="4" t="n">
        <v>45</v>
      </c>
      <c r="G14" s="3" t="n">
        <v>12.5</v>
      </c>
      <c r="H14" s="3" t="n">
        <v>31</v>
      </c>
      <c r="I14" s="3" t="n">
        <v>10</v>
      </c>
      <c r="J14" s="5" t="n">
        <f aca="false">H14-I14</f>
        <v>21</v>
      </c>
      <c r="K14" s="5" t="n">
        <f aca="false">ROUND(G14*J14,0)</f>
        <v>263</v>
      </c>
      <c r="L14" s="6" t="n">
        <f aca="false">ROUND(I14*G14*F14,2)</f>
        <v>5625</v>
      </c>
      <c r="M14" s="3" t="n">
        <v>17</v>
      </c>
      <c r="N14" s="5" t="n">
        <f aca="false">IFERROR(ROUND(K14/M14,2),0)</f>
        <v>15.47</v>
      </c>
      <c r="O14" s="3" t="s">
        <v>20</v>
      </c>
    </row>
    <row r="15" customFormat="false" ht="15" hidden="false" customHeight="false" outlineLevel="0" collapsed="false">
      <c r="A15" s="3" t="s">
        <v>21</v>
      </c>
      <c r="B15" s="3" t="s">
        <v>27</v>
      </c>
      <c r="C15" s="3" t="s">
        <v>17</v>
      </c>
      <c r="D15" s="3" t="s">
        <v>18</v>
      </c>
      <c r="E15" s="3" t="s">
        <v>19</v>
      </c>
      <c r="F15" s="4" t="n">
        <v>45</v>
      </c>
      <c r="G15" s="3" t="n">
        <v>8.8</v>
      </c>
      <c r="H15" s="3" t="n">
        <v>28</v>
      </c>
      <c r="I15" s="3" t="n">
        <v>9</v>
      </c>
      <c r="J15" s="5" t="n">
        <f aca="false">H15-I15</f>
        <v>19</v>
      </c>
      <c r="K15" s="5" t="n">
        <f aca="false">ROUND(G15*J15,0)</f>
        <v>167</v>
      </c>
      <c r="L15" s="6" t="n">
        <f aca="false">ROUND(I15*G15*F15,2)</f>
        <v>3564</v>
      </c>
      <c r="M15" s="3" t="n">
        <v>29.4</v>
      </c>
      <c r="N15" s="5" t="n">
        <f aca="false">IFERROR(ROUND(K15/M15,2),0)</f>
        <v>5.68</v>
      </c>
      <c r="O15" s="3" t="s">
        <v>20</v>
      </c>
    </row>
    <row r="16" customFormat="false" ht="15" hidden="false" customHeight="false" outlineLevel="0" collapsed="false">
      <c r="A16" s="3" t="s">
        <v>22</v>
      </c>
      <c r="B16" s="3" t="s">
        <v>27</v>
      </c>
      <c r="C16" s="3" t="s">
        <v>17</v>
      </c>
      <c r="D16" s="3" t="s">
        <v>18</v>
      </c>
      <c r="E16" s="3" t="s">
        <v>19</v>
      </c>
      <c r="F16" s="4" t="n">
        <v>45</v>
      </c>
      <c r="G16" s="3" t="n">
        <v>11</v>
      </c>
      <c r="H16" s="3" t="n">
        <v>31</v>
      </c>
      <c r="I16" s="3" t="n">
        <v>4</v>
      </c>
      <c r="J16" s="5" t="n">
        <f aca="false">H16-I16</f>
        <v>27</v>
      </c>
      <c r="K16" s="5" t="n">
        <f aca="false">ROUND(G16*J16,0)</f>
        <v>297</v>
      </c>
      <c r="L16" s="6" t="n">
        <f aca="false">ROUND(I16*G16*F16,2)</f>
        <v>1980</v>
      </c>
      <c r="M16" s="3" t="n">
        <v>31.5</v>
      </c>
      <c r="N16" s="5" t="n">
        <f aca="false">IFERROR(ROUND(K16/M16,2),0)</f>
        <v>9.43</v>
      </c>
      <c r="O16" s="3" t="s">
        <v>20</v>
      </c>
    </row>
    <row r="17" customFormat="false" ht="15" hidden="false" customHeight="false" outlineLevel="0" collapsed="false">
      <c r="A17" s="3" t="s">
        <v>23</v>
      </c>
      <c r="B17" s="3" t="s">
        <v>27</v>
      </c>
      <c r="C17" s="3" t="s">
        <v>17</v>
      </c>
      <c r="D17" s="3" t="s">
        <v>18</v>
      </c>
      <c r="E17" s="3" t="s">
        <v>19</v>
      </c>
      <c r="F17" s="4" t="n">
        <v>45</v>
      </c>
      <c r="G17" s="3" t="n">
        <v>11.4</v>
      </c>
      <c r="H17" s="3" t="n">
        <v>30</v>
      </c>
      <c r="I17" s="3" t="n">
        <v>5</v>
      </c>
      <c r="J17" s="5" t="n">
        <f aca="false">H17-I17</f>
        <v>25</v>
      </c>
      <c r="K17" s="5" t="n">
        <f aca="false">ROUND(G17*J17,0)</f>
        <v>285</v>
      </c>
      <c r="L17" s="6" t="n">
        <f aca="false">ROUND(I17*G17*F17,2)</f>
        <v>2565</v>
      </c>
      <c r="M17" s="3" t="n">
        <v>36.4</v>
      </c>
      <c r="N17" s="5" t="n">
        <f aca="false">IFERROR(ROUND(K17/M17,2),0)</f>
        <v>7.83</v>
      </c>
      <c r="O17" s="3" t="s">
        <v>20</v>
      </c>
    </row>
    <row r="18" customFormat="false" ht="15" hidden="false" customHeight="false" outlineLevel="0" collapsed="false">
      <c r="A18" s="3" t="s">
        <v>24</v>
      </c>
      <c r="B18" s="3" t="s">
        <v>27</v>
      </c>
      <c r="C18" s="3" t="s">
        <v>17</v>
      </c>
      <c r="D18" s="3" t="s">
        <v>18</v>
      </c>
      <c r="E18" s="3" t="s">
        <v>19</v>
      </c>
      <c r="F18" s="4" t="n">
        <v>45</v>
      </c>
      <c r="G18" s="3" t="n">
        <v>11.9</v>
      </c>
      <c r="H18" s="3" t="n">
        <v>31</v>
      </c>
      <c r="I18" s="3" t="n">
        <v>10</v>
      </c>
      <c r="J18" s="5" t="n">
        <f aca="false">H18-I18</f>
        <v>21</v>
      </c>
      <c r="K18" s="5" t="n">
        <f aca="false">ROUND(G18*J18,0)</f>
        <v>250</v>
      </c>
      <c r="L18" s="6" t="n">
        <f aca="false">ROUND(I18*G18*F18,2)</f>
        <v>5355</v>
      </c>
      <c r="M18" s="3" t="n">
        <v>21.9</v>
      </c>
      <c r="N18" s="5" t="n">
        <f aca="false">IFERROR(ROUND(K18/M18,2),0)</f>
        <v>11.42</v>
      </c>
      <c r="O18" s="3" t="s">
        <v>20</v>
      </c>
    </row>
    <row r="19" customFormat="false" ht="15" hidden="false" customHeight="false" outlineLevel="0" collapsed="false">
      <c r="A19" s="3" t="s">
        <v>25</v>
      </c>
      <c r="B19" s="3" t="s">
        <v>27</v>
      </c>
      <c r="C19" s="3" t="s">
        <v>17</v>
      </c>
      <c r="D19" s="3" t="s">
        <v>18</v>
      </c>
      <c r="E19" s="3" t="s">
        <v>19</v>
      </c>
      <c r="F19" s="4" t="n">
        <v>45</v>
      </c>
      <c r="G19" s="3" t="n">
        <v>10.6</v>
      </c>
      <c r="H19" s="3" t="n">
        <v>30</v>
      </c>
      <c r="I19" s="3" t="n">
        <v>9</v>
      </c>
      <c r="J19" s="5" t="n">
        <f aca="false">H19-I19</f>
        <v>21</v>
      </c>
      <c r="K19" s="5" t="n">
        <f aca="false">ROUND(G19*J19,0)</f>
        <v>223</v>
      </c>
      <c r="L19" s="6" t="n">
        <f aca="false">ROUND(I19*G19*F19,2)</f>
        <v>4293</v>
      </c>
      <c r="M19" s="3" t="n">
        <v>19.1</v>
      </c>
      <c r="N19" s="5" t="n">
        <f aca="false">IFERROR(ROUND(K19/M19,2),0)</f>
        <v>11.68</v>
      </c>
      <c r="O19" s="3" t="s">
        <v>20</v>
      </c>
    </row>
    <row r="20" customFormat="false" ht="15" hidden="false" customHeight="false" outlineLevel="0" collapsed="false">
      <c r="A20" s="3" t="s">
        <v>15</v>
      </c>
      <c r="B20" s="3" t="s">
        <v>28</v>
      </c>
      <c r="C20" s="3" t="s">
        <v>17</v>
      </c>
      <c r="D20" s="3" t="s">
        <v>18</v>
      </c>
      <c r="E20" s="3" t="s">
        <v>19</v>
      </c>
      <c r="F20" s="4" t="n">
        <v>45</v>
      </c>
      <c r="G20" s="3" t="n">
        <v>8.1</v>
      </c>
      <c r="H20" s="3" t="n">
        <v>31</v>
      </c>
      <c r="I20" s="3" t="n">
        <v>8</v>
      </c>
      <c r="J20" s="5" t="n">
        <f aca="false">H20-I20</f>
        <v>23</v>
      </c>
      <c r="K20" s="5" t="n">
        <f aca="false">ROUND(G20*J20,0)</f>
        <v>186</v>
      </c>
      <c r="L20" s="6" t="n">
        <f aca="false">ROUND(I20*G20*F20,2)</f>
        <v>2916</v>
      </c>
      <c r="M20" s="3" t="n">
        <v>32.5</v>
      </c>
      <c r="N20" s="5" t="n">
        <f aca="false">IFERROR(ROUND(K20/M20,2),0)</f>
        <v>5.72</v>
      </c>
      <c r="O20" s="3" t="s">
        <v>20</v>
      </c>
    </row>
    <row r="21" customFormat="false" ht="15" hidden="false" customHeight="false" outlineLevel="0" collapsed="false">
      <c r="A21" s="3" t="s">
        <v>21</v>
      </c>
      <c r="B21" s="3" t="s">
        <v>28</v>
      </c>
      <c r="C21" s="3" t="s">
        <v>17</v>
      </c>
      <c r="D21" s="3" t="s">
        <v>18</v>
      </c>
      <c r="E21" s="3" t="s">
        <v>19</v>
      </c>
      <c r="F21" s="4" t="n">
        <v>45</v>
      </c>
      <c r="G21" s="3" t="n">
        <v>9.7</v>
      </c>
      <c r="H21" s="3" t="n">
        <v>28</v>
      </c>
      <c r="I21" s="3" t="n">
        <v>5</v>
      </c>
      <c r="J21" s="5" t="n">
        <f aca="false">H21-I21</f>
        <v>23</v>
      </c>
      <c r="K21" s="5" t="n">
        <f aca="false">ROUND(G21*J21,0)</f>
        <v>223</v>
      </c>
      <c r="L21" s="6" t="n">
        <f aca="false">ROUND(I21*G21*F21,2)</f>
        <v>2182.5</v>
      </c>
      <c r="M21" s="3" t="n">
        <v>30.2</v>
      </c>
      <c r="N21" s="5" t="n">
        <f aca="false">IFERROR(ROUND(K21/M21,2),0)</f>
        <v>7.38</v>
      </c>
      <c r="O21" s="3" t="s">
        <v>20</v>
      </c>
    </row>
    <row r="22" customFormat="false" ht="15" hidden="false" customHeight="false" outlineLevel="0" collapsed="false">
      <c r="A22" s="3" t="s">
        <v>22</v>
      </c>
      <c r="B22" s="3" t="s">
        <v>28</v>
      </c>
      <c r="C22" s="3" t="s">
        <v>17</v>
      </c>
      <c r="D22" s="3" t="s">
        <v>18</v>
      </c>
      <c r="E22" s="3" t="s">
        <v>19</v>
      </c>
      <c r="F22" s="4" t="n">
        <v>45</v>
      </c>
      <c r="G22" s="3" t="n">
        <v>7.2</v>
      </c>
      <c r="H22" s="3" t="n">
        <v>31</v>
      </c>
      <c r="I22" s="3" t="n">
        <v>7</v>
      </c>
      <c r="J22" s="5" t="n">
        <f aca="false">H22-I22</f>
        <v>24</v>
      </c>
      <c r="K22" s="5" t="n">
        <f aca="false">ROUND(G22*J22,0)</f>
        <v>173</v>
      </c>
      <c r="L22" s="6" t="n">
        <f aca="false">ROUND(I22*G22*F22,2)</f>
        <v>2268</v>
      </c>
      <c r="M22" s="3" t="n">
        <v>19.1</v>
      </c>
      <c r="N22" s="5" t="n">
        <f aca="false">IFERROR(ROUND(K22/M22,2),0)</f>
        <v>9.06</v>
      </c>
      <c r="O22" s="3" t="s">
        <v>20</v>
      </c>
    </row>
    <row r="23" customFormat="false" ht="15" hidden="false" customHeight="false" outlineLevel="0" collapsed="false">
      <c r="A23" s="3" t="s">
        <v>23</v>
      </c>
      <c r="B23" s="3" t="s">
        <v>28</v>
      </c>
      <c r="C23" s="3" t="s">
        <v>17</v>
      </c>
      <c r="D23" s="3" t="s">
        <v>18</v>
      </c>
      <c r="E23" s="3" t="s">
        <v>19</v>
      </c>
      <c r="F23" s="4" t="n">
        <v>45</v>
      </c>
      <c r="G23" s="3" t="n">
        <v>8.2</v>
      </c>
      <c r="H23" s="3" t="n">
        <v>30</v>
      </c>
      <c r="I23" s="3" t="n">
        <v>12</v>
      </c>
      <c r="J23" s="5" t="n">
        <f aca="false">H23-I23</f>
        <v>18</v>
      </c>
      <c r="K23" s="5" t="n">
        <f aca="false">ROUND(G23*J23,0)</f>
        <v>148</v>
      </c>
      <c r="L23" s="6" t="n">
        <f aca="false">ROUND(I23*G23*F23,2)</f>
        <v>4428</v>
      </c>
      <c r="M23" s="3" t="n">
        <v>20.5</v>
      </c>
      <c r="N23" s="5" t="n">
        <f aca="false">IFERROR(ROUND(K23/M23,2),0)</f>
        <v>7.22</v>
      </c>
      <c r="O23" s="3" t="s">
        <v>20</v>
      </c>
    </row>
    <row r="24" customFormat="false" ht="15" hidden="false" customHeight="false" outlineLevel="0" collapsed="false">
      <c r="A24" s="3" t="s">
        <v>24</v>
      </c>
      <c r="B24" s="3" t="s">
        <v>28</v>
      </c>
      <c r="C24" s="3" t="s">
        <v>17</v>
      </c>
      <c r="D24" s="3" t="s">
        <v>18</v>
      </c>
      <c r="E24" s="3" t="s">
        <v>19</v>
      </c>
      <c r="F24" s="4" t="n">
        <v>45</v>
      </c>
      <c r="G24" s="3" t="n">
        <v>8</v>
      </c>
      <c r="H24" s="3" t="n">
        <v>31</v>
      </c>
      <c r="I24" s="3" t="n">
        <v>4</v>
      </c>
      <c r="J24" s="5" t="n">
        <f aca="false">H24-I24</f>
        <v>27</v>
      </c>
      <c r="K24" s="5" t="n">
        <f aca="false">ROUND(G24*J24,0)</f>
        <v>216</v>
      </c>
      <c r="L24" s="6" t="n">
        <f aca="false">ROUND(I24*G24*F24,2)</f>
        <v>1440</v>
      </c>
      <c r="M24" s="3" t="n">
        <v>20.7</v>
      </c>
      <c r="N24" s="5" t="n">
        <f aca="false">IFERROR(ROUND(K24/M24,2),0)</f>
        <v>10.43</v>
      </c>
      <c r="O24" s="3" t="s">
        <v>20</v>
      </c>
    </row>
    <row r="25" customFormat="false" ht="15" hidden="false" customHeight="false" outlineLevel="0" collapsed="false">
      <c r="A25" s="3" t="s">
        <v>25</v>
      </c>
      <c r="B25" s="3" t="s">
        <v>28</v>
      </c>
      <c r="C25" s="3" t="s">
        <v>17</v>
      </c>
      <c r="D25" s="3" t="s">
        <v>18</v>
      </c>
      <c r="E25" s="3" t="s">
        <v>19</v>
      </c>
      <c r="F25" s="4" t="n">
        <v>45</v>
      </c>
      <c r="G25" s="3" t="n">
        <v>6.6</v>
      </c>
      <c r="H25" s="3" t="n">
        <v>30</v>
      </c>
      <c r="I25" s="3" t="n">
        <v>9</v>
      </c>
      <c r="J25" s="5" t="n">
        <f aca="false">H25-I25</f>
        <v>21</v>
      </c>
      <c r="K25" s="5" t="n">
        <f aca="false">ROUND(G25*J25,0)</f>
        <v>139</v>
      </c>
      <c r="L25" s="6" t="n">
        <f aca="false">ROUND(I25*G25*F25,2)</f>
        <v>2673</v>
      </c>
      <c r="M25" s="3" t="n">
        <v>25</v>
      </c>
      <c r="N25" s="5" t="n">
        <f aca="false">IFERROR(ROUND(K25/M25,2),0)</f>
        <v>5.56</v>
      </c>
      <c r="O25" s="3" t="s">
        <v>20</v>
      </c>
    </row>
    <row r="26" customFormat="false" ht="15" hidden="false" customHeight="false" outlineLevel="0" collapsed="false">
      <c r="A26" s="3" t="s">
        <v>15</v>
      </c>
      <c r="B26" s="3" t="s">
        <v>16</v>
      </c>
      <c r="C26" s="3" t="s">
        <v>29</v>
      </c>
      <c r="D26" s="3" t="s">
        <v>30</v>
      </c>
      <c r="E26" s="3" t="s">
        <v>19</v>
      </c>
      <c r="F26" s="4" t="n">
        <v>22</v>
      </c>
      <c r="G26" s="3" t="n">
        <v>2.6</v>
      </c>
      <c r="H26" s="3" t="n">
        <v>31</v>
      </c>
      <c r="I26" s="3" t="n">
        <v>2</v>
      </c>
      <c r="J26" s="5" t="n">
        <f aca="false">H26-I26</f>
        <v>29</v>
      </c>
      <c r="K26" s="5" t="n">
        <f aca="false">ROUND(G26*J26,0)</f>
        <v>75</v>
      </c>
      <c r="L26" s="6" t="n">
        <f aca="false">ROUND(I26*G26*F26,2)</f>
        <v>114.4</v>
      </c>
      <c r="M26" s="3" t="n">
        <v>130.1</v>
      </c>
      <c r="N26" s="5" t="n">
        <f aca="false">IFERROR(ROUND(K26/M26,2),0)</f>
        <v>0.58</v>
      </c>
      <c r="O26" s="3" t="s">
        <v>31</v>
      </c>
    </row>
    <row r="27" customFormat="false" ht="15" hidden="false" customHeight="false" outlineLevel="0" collapsed="false">
      <c r="A27" s="3" t="s">
        <v>21</v>
      </c>
      <c r="B27" s="3" t="s">
        <v>16</v>
      </c>
      <c r="C27" s="3" t="s">
        <v>29</v>
      </c>
      <c r="D27" s="3" t="s">
        <v>30</v>
      </c>
      <c r="E27" s="3" t="s">
        <v>19</v>
      </c>
      <c r="F27" s="4" t="n">
        <v>22</v>
      </c>
      <c r="G27" s="3" t="n">
        <v>3.5</v>
      </c>
      <c r="H27" s="3" t="n">
        <v>28</v>
      </c>
      <c r="I27" s="3" t="n">
        <v>2</v>
      </c>
      <c r="J27" s="5" t="n">
        <f aca="false">H27-I27</f>
        <v>26</v>
      </c>
      <c r="K27" s="5" t="n">
        <f aca="false">ROUND(G27*J27,0)</f>
        <v>91</v>
      </c>
      <c r="L27" s="6" t="n">
        <f aca="false">ROUND(I27*G27*F27,2)</f>
        <v>154</v>
      </c>
      <c r="M27" s="3" t="n">
        <v>99.9</v>
      </c>
      <c r="N27" s="5" t="n">
        <f aca="false">IFERROR(ROUND(K27/M27,2),0)</f>
        <v>0.91</v>
      </c>
      <c r="O27" s="3" t="s">
        <v>31</v>
      </c>
    </row>
    <row r="28" customFormat="false" ht="15" hidden="false" customHeight="false" outlineLevel="0" collapsed="false">
      <c r="A28" s="3" t="s">
        <v>22</v>
      </c>
      <c r="B28" s="3" t="s">
        <v>16</v>
      </c>
      <c r="C28" s="3" t="s">
        <v>29</v>
      </c>
      <c r="D28" s="3" t="s">
        <v>30</v>
      </c>
      <c r="E28" s="3" t="s">
        <v>19</v>
      </c>
      <c r="F28" s="4" t="n">
        <v>22</v>
      </c>
      <c r="G28" s="3" t="n">
        <v>5.6</v>
      </c>
      <c r="H28" s="3" t="n">
        <v>31</v>
      </c>
      <c r="I28" s="3" t="n">
        <v>2</v>
      </c>
      <c r="J28" s="5" t="n">
        <f aca="false">H28-I28</f>
        <v>29</v>
      </c>
      <c r="K28" s="5" t="n">
        <f aca="false">ROUND(G28*J28,0)</f>
        <v>162</v>
      </c>
      <c r="L28" s="6" t="n">
        <f aca="false">ROUND(I28*G28*F28,2)</f>
        <v>246.4</v>
      </c>
      <c r="M28" s="3" t="n">
        <v>96.7</v>
      </c>
      <c r="N28" s="5" t="n">
        <f aca="false">IFERROR(ROUND(K28/M28,2),0)</f>
        <v>1.68</v>
      </c>
      <c r="O28" s="3" t="s">
        <v>31</v>
      </c>
    </row>
    <row r="29" customFormat="false" ht="15" hidden="false" customHeight="false" outlineLevel="0" collapsed="false">
      <c r="A29" s="3" t="s">
        <v>23</v>
      </c>
      <c r="B29" s="3" t="s">
        <v>16</v>
      </c>
      <c r="C29" s="3" t="s">
        <v>29</v>
      </c>
      <c r="D29" s="3" t="s">
        <v>30</v>
      </c>
      <c r="E29" s="3" t="s">
        <v>19</v>
      </c>
      <c r="F29" s="4" t="n">
        <v>22</v>
      </c>
      <c r="G29" s="3" t="n">
        <v>3.4</v>
      </c>
      <c r="H29" s="3" t="n">
        <v>30</v>
      </c>
      <c r="I29" s="3" t="n">
        <v>0</v>
      </c>
      <c r="J29" s="5" t="n">
        <f aca="false">H29-I29</f>
        <v>30</v>
      </c>
      <c r="K29" s="5" t="n">
        <f aca="false">ROUND(G29*J29,0)</f>
        <v>102</v>
      </c>
      <c r="L29" s="6" t="n">
        <f aca="false">ROUND(I29*G29*F29,2)</f>
        <v>0</v>
      </c>
      <c r="M29" s="3" t="n">
        <v>119.6</v>
      </c>
      <c r="N29" s="5" t="n">
        <f aca="false">IFERROR(ROUND(K29/M29,2),0)</f>
        <v>0.85</v>
      </c>
      <c r="O29" s="3" t="s">
        <v>31</v>
      </c>
    </row>
    <row r="30" customFormat="false" ht="15" hidden="false" customHeight="false" outlineLevel="0" collapsed="false">
      <c r="A30" s="3" t="s">
        <v>24</v>
      </c>
      <c r="B30" s="3" t="s">
        <v>16</v>
      </c>
      <c r="C30" s="3" t="s">
        <v>29</v>
      </c>
      <c r="D30" s="3" t="s">
        <v>30</v>
      </c>
      <c r="E30" s="3" t="s">
        <v>19</v>
      </c>
      <c r="F30" s="4" t="n">
        <v>22</v>
      </c>
      <c r="G30" s="3" t="n">
        <v>4.3</v>
      </c>
      <c r="H30" s="3" t="n">
        <v>31</v>
      </c>
      <c r="I30" s="3" t="n">
        <v>2</v>
      </c>
      <c r="J30" s="5" t="n">
        <f aca="false">H30-I30</f>
        <v>29</v>
      </c>
      <c r="K30" s="5" t="n">
        <f aca="false">ROUND(G30*J30,0)</f>
        <v>125</v>
      </c>
      <c r="L30" s="6" t="n">
        <f aca="false">ROUND(I30*G30*F30,2)</f>
        <v>189.2</v>
      </c>
      <c r="M30" s="3" t="n">
        <v>106.8</v>
      </c>
      <c r="N30" s="5" t="n">
        <f aca="false">IFERROR(ROUND(K30/M30,2),0)</f>
        <v>1.17</v>
      </c>
      <c r="O30" s="3" t="s">
        <v>31</v>
      </c>
    </row>
    <row r="31" customFormat="false" ht="15" hidden="false" customHeight="false" outlineLevel="0" collapsed="false">
      <c r="A31" s="3" t="s">
        <v>25</v>
      </c>
      <c r="B31" s="3" t="s">
        <v>16</v>
      </c>
      <c r="C31" s="3" t="s">
        <v>29</v>
      </c>
      <c r="D31" s="3" t="s">
        <v>30</v>
      </c>
      <c r="E31" s="3" t="s">
        <v>19</v>
      </c>
      <c r="F31" s="4" t="n">
        <v>22</v>
      </c>
      <c r="G31" s="3" t="n">
        <v>5.6</v>
      </c>
      <c r="H31" s="3" t="n">
        <v>30</v>
      </c>
      <c r="I31" s="3" t="n">
        <v>1</v>
      </c>
      <c r="J31" s="5" t="n">
        <f aca="false">H31-I31</f>
        <v>29</v>
      </c>
      <c r="K31" s="5" t="n">
        <f aca="false">ROUND(G31*J31,0)</f>
        <v>162</v>
      </c>
      <c r="L31" s="6" t="n">
        <f aca="false">ROUND(I31*G31*F31,2)</f>
        <v>123.2</v>
      </c>
      <c r="M31" s="3" t="n">
        <v>89</v>
      </c>
      <c r="N31" s="5" t="n">
        <f aca="false">IFERROR(ROUND(K31/M31,2),0)</f>
        <v>1.82</v>
      </c>
      <c r="O31" s="3" t="s">
        <v>31</v>
      </c>
    </row>
    <row r="32" customFormat="false" ht="15" hidden="false" customHeight="false" outlineLevel="0" collapsed="false">
      <c r="A32" s="3" t="s">
        <v>15</v>
      </c>
      <c r="B32" s="3" t="s">
        <v>26</v>
      </c>
      <c r="C32" s="3" t="s">
        <v>29</v>
      </c>
      <c r="D32" s="3" t="s">
        <v>30</v>
      </c>
      <c r="E32" s="3" t="s">
        <v>19</v>
      </c>
      <c r="F32" s="4" t="n">
        <v>22</v>
      </c>
      <c r="G32" s="3" t="n">
        <v>5</v>
      </c>
      <c r="H32" s="3" t="n">
        <v>31</v>
      </c>
      <c r="I32" s="3" t="n">
        <v>0</v>
      </c>
      <c r="J32" s="5" t="n">
        <f aca="false">H32-I32</f>
        <v>31</v>
      </c>
      <c r="K32" s="5" t="n">
        <f aca="false">ROUND(G32*J32,0)</f>
        <v>155</v>
      </c>
      <c r="L32" s="6" t="n">
        <f aca="false">ROUND(I32*G32*F32,2)</f>
        <v>0</v>
      </c>
      <c r="M32" s="3" t="n">
        <v>100.8</v>
      </c>
      <c r="N32" s="5" t="n">
        <f aca="false">IFERROR(ROUND(K32/M32,2),0)</f>
        <v>1.54</v>
      </c>
      <c r="O32" s="3" t="s">
        <v>31</v>
      </c>
    </row>
    <row r="33" customFormat="false" ht="15" hidden="false" customHeight="false" outlineLevel="0" collapsed="false">
      <c r="A33" s="3" t="s">
        <v>21</v>
      </c>
      <c r="B33" s="3" t="s">
        <v>26</v>
      </c>
      <c r="C33" s="3" t="s">
        <v>29</v>
      </c>
      <c r="D33" s="3" t="s">
        <v>30</v>
      </c>
      <c r="E33" s="3" t="s">
        <v>19</v>
      </c>
      <c r="F33" s="4" t="n">
        <v>22</v>
      </c>
      <c r="G33" s="3" t="n">
        <v>2.3</v>
      </c>
      <c r="H33" s="3" t="n">
        <v>28</v>
      </c>
      <c r="I33" s="3" t="n">
        <v>0</v>
      </c>
      <c r="J33" s="5" t="n">
        <f aca="false">H33-I33</f>
        <v>28</v>
      </c>
      <c r="K33" s="5" t="n">
        <f aca="false">ROUND(G33*J33,0)</f>
        <v>64</v>
      </c>
      <c r="L33" s="6" t="n">
        <f aca="false">ROUND(I33*G33*F33,2)</f>
        <v>0</v>
      </c>
      <c r="M33" s="3" t="n">
        <v>128.9</v>
      </c>
      <c r="N33" s="5" t="n">
        <f aca="false">IFERROR(ROUND(K33/M33,2),0)</f>
        <v>0.5</v>
      </c>
      <c r="O33" s="3" t="s">
        <v>31</v>
      </c>
    </row>
    <row r="34" customFormat="false" ht="15" hidden="false" customHeight="false" outlineLevel="0" collapsed="false">
      <c r="A34" s="3" t="s">
        <v>22</v>
      </c>
      <c r="B34" s="3" t="s">
        <v>26</v>
      </c>
      <c r="C34" s="3" t="s">
        <v>29</v>
      </c>
      <c r="D34" s="3" t="s">
        <v>30</v>
      </c>
      <c r="E34" s="3" t="s">
        <v>19</v>
      </c>
      <c r="F34" s="4" t="n">
        <v>22</v>
      </c>
      <c r="G34" s="3" t="n">
        <v>2.5</v>
      </c>
      <c r="H34" s="3" t="n">
        <v>31</v>
      </c>
      <c r="I34" s="3" t="n">
        <v>0</v>
      </c>
      <c r="J34" s="5" t="n">
        <f aca="false">H34-I34</f>
        <v>31</v>
      </c>
      <c r="K34" s="5" t="n">
        <f aca="false">ROUND(G34*J34,0)</f>
        <v>78</v>
      </c>
      <c r="L34" s="6" t="n">
        <f aca="false">ROUND(I34*G34*F34,2)</f>
        <v>0</v>
      </c>
      <c r="M34" s="3" t="n">
        <v>123.4</v>
      </c>
      <c r="N34" s="5" t="n">
        <f aca="false">IFERROR(ROUND(K34/M34,2),0)</f>
        <v>0.63</v>
      </c>
      <c r="O34" s="3" t="s">
        <v>31</v>
      </c>
    </row>
    <row r="35" customFormat="false" ht="15" hidden="false" customHeight="false" outlineLevel="0" collapsed="false">
      <c r="A35" s="3" t="s">
        <v>23</v>
      </c>
      <c r="B35" s="3" t="s">
        <v>26</v>
      </c>
      <c r="C35" s="3" t="s">
        <v>29</v>
      </c>
      <c r="D35" s="3" t="s">
        <v>30</v>
      </c>
      <c r="E35" s="3" t="s">
        <v>19</v>
      </c>
      <c r="F35" s="4" t="n">
        <v>22</v>
      </c>
      <c r="G35" s="3" t="n">
        <v>3.3</v>
      </c>
      <c r="H35" s="3" t="n">
        <v>30</v>
      </c>
      <c r="I35" s="3" t="n">
        <v>0</v>
      </c>
      <c r="J35" s="5" t="n">
        <f aca="false">H35-I35</f>
        <v>30</v>
      </c>
      <c r="K35" s="5" t="n">
        <f aca="false">ROUND(G35*J35,0)</f>
        <v>99</v>
      </c>
      <c r="L35" s="6" t="n">
        <f aca="false">ROUND(I35*G35*F35,2)</f>
        <v>0</v>
      </c>
      <c r="M35" s="3" t="n">
        <v>90.8</v>
      </c>
      <c r="N35" s="5" t="n">
        <f aca="false">IFERROR(ROUND(K35/M35,2),0)</f>
        <v>1.09</v>
      </c>
      <c r="O35" s="3" t="s">
        <v>31</v>
      </c>
    </row>
    <row r="36" customFormat="false" ht="15" hidden="false" customHeight="false" outlineLevel="0" collapsed="false">
      <c r="A36" s="3" t="s">
        <v>24</v>
      </c>
      <c r="B36" s="3" t="s">
        <v>26</v>
      </c>
      <c r="C36" s="3" t="s">
        <v>29</v>
      </c>
      <c r="D36" s="3" t="s">
        <v>30</v>
      </c>
      <c r="E36" s="3" t="s">
        <v>19</v>
      </c>
      <c r="F36" s="4" t="n">
        <v>22</v>
      </c>
      <c r="G36" s="3" t="n">
        <v>3.8</v>
      </c>
      <c r="H36" s="3" t="n">
        <v>31</v>
      </c>
      <c r="I36" s="3" t="n">
        <v>1</v>
      </c>
      <c r="J36" s="5" t="n">
        <f aca="false">H36-I36</f>
        <v>30</v>
      </c>
      <c r="K36" s="5" t="n">
        <f aca="false">ROUND(G36*J36,0)</f>
        <v>114</v>
      </c>
      <c r="L36" s="6" t="n">
        <f aca="false">ROUND(I36*G36*F36,2)</f>
        <v>83.6</v>
      </c>
      <c r="M36" s="3" t="n">
        <v>102.3</v>
      </c>
      <c r="N36" s="5" t="n">
        <f aca="false">IFERROR(ROUND(K36/M36,2),0)</f>
        <v>1.11</v>
      </c>
      <c r="O36" s="3" t="s">
        <v>31</v>
      </c>
    </row>
    <row r="37" customFormat="false" ht="15" hidden="false" customHeight="false" outlineLevel="0" collapsed="false">
      <c r="A37" s="3" t="s">
        <v>25</v>
      </c>
      <c r="B37" s="3" t="s">
        <v>26</v>
      </c>
      <c r="C37" s="3" t="s">
        <v>29</v>
      </c>
      <c r="D37" s="3" t="s">
        <v>30</v>
      </c>
      <c r="E37" s="3" t="s">
        <v>19</v>
      </c>
      <c r="F37" s="4" t="n">
        <v>22</v>
      </c>
      <c r="G37" s="3" t="n">
        <v>4.9</v>
      </c>
      <c r="H37" s="3" t="n">
        <v>30</v>
      </c>
      <c r="I37" s="3" t="n">
        <v>0</v>
      </c>
      <c r="J37" s="5" t="n">
        <f aca="false">H37-I37</f>
        <v>30</v>
      </c>
      <c r="K37" s="5" t="n">
        <f aca="false">ROUND(G37*J37,0)</f>
        <v>147</v>
      </c>
      <c r="L37" s="6" t="n">
        <f aca="false">ROUND(I37*G37*F37,2)</f>
        <v>0</v>
      </c>
      <c r="M37" s="3" t="n">
        <v>114.4</v>
      </c>
      <c r="N37" s="5" t="n">
        <f aca="false">IFERROR(ROUND(K37/M37,2),0)</f>
        <v>1.28</v>
      </c>
      <c r="O37" s="3" t="s">
        <v>31</v>
      </c>
    </row>
    <row r="38" customFormat="false" ht="15" hidden="false" customHeight="false" outlineLevel="0" collapsed="false">
      <c r="A38" s="3" t="s">
        <v>15</v>
      </c>
      <c r="B38" s="3" t="s">
        <v>27</v>
      </c>
      <c r="C38" s="3" t="s">
        <v>29</v>
      </c>
      <c r="D38" s="3" t="s">
        <v>30</v>
      </c>
      <c r="E38" s="3" t="s">
        <v>19</v>
      </c>
      <c r="F38" s="4" t="n">
        <v>22</v>
      </c>
      <c r="G38" s="3" t="n">
        <v>2.1</v>
      </c>
      <c r="H38" s="3" t="n">
        <v>31</v>
      </c>
      <c r="I38" s="3" t="n">
        <v>2</v>
      </c>
      <c r="J38" s="5" t="n">
        <f aca="false">H38-I38</f>
        <v>29</v>
      </c>
      <c r="K38" s="5" t="n">
        <f aca="false">ROUND(G38*J38,0)</f>
        <v>61</v>
      </c>
      <c r="L38" s="6" t="n">
        <f aca="false">ROUND(I38*G38*F38,2)</f>
        <v>92.4</v>
      </c>
      <c r="M38" s="3" t="n">
        <v>120.1</v>
      </c>
      <c r="N38" s="5" t="n">
        <f aca="false">IFERROR(ROUND(K38/M38,2),0)</f>
        <v>0.51</v>
      </c>
      <c r="O38" s="3" t="s">
        <v>31</v>
      </c>
    </row>
    <row r="39" customFormat="false" ht="15" hidden="false" customHeight="false" outlineLevel="0" collapsed="false">
      <c r="A39" s="3" t="s">
        <v>21</v>
      </c>
      <c r="B39" s="3" t="s">
        <v>27</v>
      </c>
      <c r="C39" s="3" t="s">
        <v>29</v>
      </c>
      <c r="D39" s="3" t="s">
        <v>30</v>
      </c>
      <c r="E39" s="3" t="s">
        <v>19</v>
      </c>
      <c r="F39" s="4" t="n">
        <v>22</v>
      </c>
      <c r="G39" s="3" t="n">
        <v>3.9</v>
      </c>
      <c r="H39" s="3" t="n">
        <v>28</v>
      </c>
      <c r="I39" s="3" t="n">
        <v>1</v>
      </c>
      <c r="J39" s="5" t="n">
        <f aca="false">H39-I39</f>
        <v>27</v>
      </c>
      <c r="K39" s="5" t="n">
        <f aca="false">ROUND(G39*J39,0)</f>
        <v>105</v>
      </c>
      <c r="L39" s="6" t="n">
        <f aca="false">ROUND(I39*G39*F39,2)</f>
        <v>85.8</v>
      </c>
      <c r="M39" s="3" t="n">
        <v>68.9</v>
      </c>
      <c r="N39" s="5" t="n">
        <f aca="false">IFERROR(ROUND(K39/M39,2),0)</f>
        <v>1.52</v>
      </c>
      <c r="O39" s="3" t="s">
        <v>31</v>
      </c>
    </row>
    <row r="40" customFormat="false" ht="15" hidden="false" customHeight="false" outlineLevel="0" collapsed="false">
      <c r="A40" s="3" t="s">
        <v>22</v>
      </c>
      <c r="B40" s="3" t="s">
        <v>27</v>
      </c>
      <c r="C40" s="3" t="s">
        <v>29</v>
      </c>
      <c r="D40" s="3" t="s">
        <v>30</v>
      </c>
      <c r="E40" s="3" t="s">
        <v>19</v>
      </c>
      <c r="F40" s="4" t="n">
        <v>22</v>
      </c>
      <c r="G40" s="3" t="n">
        <v>3</v>
      </c>
      <c r="H40" s="3" t="n">
        <v>31</v>
      </c>
      <c r="I40" s="3" t="n">
        <v>1</v>
      </c>
      <c r="J40" s="5" t="n">
        <f aca="false">H40-I40</f>
        <v>30</v>
      </c>
      <c r="K40" s="5" t="n">
        <f aca="false">ROUND(G40*J40,0)</f>
        <v>90</v>
      </c>
      <c r="L40" s="6" t="n">
        <f aca="false">ROUND(I40*G40*F40,2)</f>
        <v>66</v>
      </c>
      <c r="M40" s="3" t="n">
        <v>60.3</v>
      </c>
      <c r="N40" s="5" t="n">
        <f aca="false">IFERROR(ROUND(K40/M40,2),0)</f>
        <v>1.49</v>
      </c>
      <c r="O40" s="3" t="s">
        <v>31</v>
      </c>
    </row>
    <row r="41" customFormat="false" ht="15" hidden="false" customHeight="false" outlineLevel="0" collapsed="false">
      <c r="A41" s="3" t="s">
        <v>23</v>
      </c>
      <c r="B41" s="3" t="s">
        <v>27</v>
      </c>
      <c r="C41" s="3" t="s">
        <v>29</v>
      </c>
      <c r="D41" s="3" t="s">
        <v>30</v>
      </c>
      <c r="E41" s="3" t="s">
        <v>19</v>
      </c>
      <c r="F41" s="4" t="n">
        <v>22</v>
      </c>
      <c r="G41" s="3" t="n">
        <v>3.7</v>
      </c>
      <c r="H41" s="3" t="n">
        <v>30</v>
      </c>
      <c r="I41" s="3" t="n">
        <v>2</v>
      </c>
      <c r="J41" s="5" t="n">
        <f aca="false">H41-I41</f>
        <v>28</v>
      </c>
      <c r="K41" s="5" t="n">
        <f aca="false">ROUND(G41*J41,0)</f>
        <v>104</v>
      </c>
      <c r="L41" s="6" t="n">
        <f aca="false">ROUND(I41*G41*F41,2)</f>
        <v>162.8</v>
      </c>
      <c r="M41" s="3" t="n">
        <v>81.1</v>
      </c>
      <c r="N41" s="5" t="n">
        <f aca="false">IFERROR(ROUND(K41/M41,2),0)</f>
        <v>1.28</v>
      </c>
      <c r="O41" s="3" t="s">
        <v>31</v>
      </c>
    </row>
    <row r="42" customFormat="false" ht="15" hidden="false" customHeight="false" outlineLevel="0" collapsed="false">
      <c r="A42" s="3" t="s">
        <v>24</v>
      </c>
      <c r="B42" s="3" t="s">
        <v>27</v>
      </c>
      <c r="C42" s="3" t="s">
        <v>29</v>
      </c>
      <c r="D42" s="3" t="s">
        <v>30</v>
      </c>
      <c r="E42" s="3" t="s">
        <v>19</v>
      </c>
      <c r="F42" s="4" t="n">
        <v>22</v>
      </c>
      <c r="G42" s="3" t="n">
        <v>3.2</v>
      </c>
      <c r="H42" s="3" t="n">
        <v>31</v>
      </c>
      <c r="I42" s="3" t="n">
        <v>0</v>
      </c>
      <c r="J42" s="5" t="n">
        <f aca="false">H42-I42</f>
        <v>31</v>
      </c>
      <c r="K42" s="5" t="n">
        <f aca="false">ROUND(G42*J42,0)</f>
        <v>99</v>
      </c>
      <c r="L42" s="6" t="n">
        <f aca="false">ROUND(I42*G42*F42,2)</f>
        <v>0</v>
      </c>
      <c r="M42" s="3" t="n">
        <v>100.6</v>
      </c>
      <c r="N42" s="5" t="n">
        <f aca="false">IFERROR(ROUND(K42/M42,2),0)</f>
        <v>0.98</v>
      </c>
      <c r="O42" s="3" t="s">
        <v>31</v>
      </c>
    </row>
    <row r="43" customFormat="false" ht="15" hidden="false" customHeight="false" outlineLevel="0" collapsed="false">
      <c r="A43" s="3" t="s">
        <v>25</v>
      </c>
      <c r="B43" s="3" t="s">
        <v>27</v>
      </c>
      <c r="C43" s="3" t="s">
        <v>29</v>
      </c>
      <c r="D43" s="3" t="s">
        <v>30</v>
      </c>
      <c r="E43" s="3" t="s">
        <v>19</v>
      </c>
      <c r="F43" s="4" t="n">
        <v>22</v>
      </c>
      <c r="G43" s="3" t="n">
        <v>2.1</v>
      </c>
      <c r="H43" s="3" t="n">
        <v>30</v>
      </c>
      <c r="I43" s="3" t="n">
        <v>2</v>
      </c>
      <c r="J43" s="5" t="n">
        <f aca="false">H43-I43</f>
        <v>28</v>
      </c>
      <c r="K43" s="5" t="n">
        <f aca="false">ROUND(G43*J43,0)</f>
        <v>59</v>
      </c>
      <c r="L43" s="6" t="n">
        <f aca="false">ROUND(I43*G43*F43,2)</f>
        <v>92.4</v>
      </c>
      <c r="M43" s="3" t="n">
        <v>83.9</v>
      </c>
      <c r="N43" s="5" t="n">
        <f aca="false">IFERROR(ROUND(K43/M43,2),0)</f>
        <v>0.7</v>
      </c>
      <c r="O43" s="3" t="s">
        <v>31</v>
      </c>
    </row>
    <row r="44" customFormat="false" ht="15" hidden="false" customHeight="false" outlineLevel="0" collapsed="false">
      <c r="A44" s="3" t="s">
        <v>15</v>
      </c>
      <c r="B44" s="3" t="s">
        <v>28</v>
      </c>
      <c r="C44" s="3" t="s">
        <v>29</v>
      </c>
      <c r="D44" s="3" t="s">
        <v>30</v>
      </c>
      <c r="E44" s="3" t="s">
        <v>19</v>
      </c>
      <c r="F44" s="4" t="n">
        <v>22</v>
      </c>
      <c r="G44" s="3" t="n">
        <v>3.1</v>
      </c>
      <c r="H44" s="3" t="n">
        <v>31</v>
      </c>
      <c r="I44" s="3" t="n">
        <v>2</v>
      </c>
      <c r="J44" s="5" t="n">
        <f aca="false">H44-I44</f>
        <v>29</v>
      </c>
      <c r="K44" s="5" t="n">
        <f aca="false">ROUND(G44*J44,0)</f>
        <v>90</v>
      </c>
      <c r="L44" s="6" t="n">
        <f aca="false">ROUND(I44*G44*F44,2)</f>
        <v>136.4</v>
      </c>
      <c r="M44" s="3" t="n">
        <v>75.9</v>
      </c>
      <c r="N44" s="5" t="n">
        <f aca="false">IFERROR(ROUND(K44/M44,2),0)</f>
        <v>1.19</v>
      </c>
      <c r="O44" s="3" t="s">
        <v>31</v>
      </c>
    </row>
    <row r="45" customFormat="false" ht="15" hidden="false" customHeight="false" outlineLevel="0" collapsed="false">
      <c r="A45" s="3" t="s">
        <v>21</v>
      </c>
      <c r="B45" s="3" t="s">
        <v>28</v>
      </c>
      <c r="C45" s="3" t="s">
        <v>29</v>
      </c>
      <c r="D45" s="3" t="s">
        <v>30</v>
      </c>
      <c r="E45" s="3" t="s">
        <v>19</v>
      </c>
      <c r="F45" s="4" t="n">
        <v>22</v>
      </c>
      <c r="G45" s="3" t="n">
        <v>2.5</v>
      </c>
      <c r="H45" s="3" t="n">
        <v>28</v>
      </c>
      <c r="I45" s="3" t="n">
        <v>0</v>
      </c>
      <c r="J45" s="5" t="n">
        <f aca="false">H45-I45</f>
        <v>28</v>
      </c>
      <c r="K45" s="5" t="n">
        <f aca="false">ROUND(G45*J45,0)</f>
        <v>70</v>
      </c>
      <c r="L45" s="6" t="n">
        <f aca="false">ROUND(I45*G45*F45,2)</f>
        <v>0</v>
      </c>
      <c r="M45" s="3" t="n">
        <v>103.2</v>
      </c>
      <c r="N45" s="5" t="n">
        <f aca="false">IFERROR(ROUND(K45/M45,2),0)</f>
        <v>0.68</v>
      </c>
      <c r="O45" s="3" t="s">
        <v>31</v>
      </c>
    </row>
    <row r="46" customFormat="false" ht="15" hidden="false" customHeight="false" outlineLevel="0" collapsed="false">
      <c r="A46" s="3" t="s">
        <v>22</v>
      </c>
      <c r="B46" s="3" t="s">
        <v>28</v>
      </c>
      <c r="C46" s="3" t="s">
        <v>29</v>
      </c>
      <c r="D46" s="3" t="s">
        <v>30</v>
      </c>
      <c r="E46" s="3" t="s">
        <v>19</v>
      </c>
      <c r="F46" s="4" t="n">
        <v>22</v>
      </c>
      <c r="G46" s="3" t="n">
        <v>3.5</v>
      </c>
      <c r="H46" s="3" t="n">
        <v>31</v>
      </c>
      <c r="I46" s="3" t="n">
        <v>2</v>
      </c>
      <c r="J46" s="5" t="n">
        <f aca="false">H46-I46</f>
        <v>29</v>
      </c>
      <c r="K46" s="5" t="n">
        <f aca="false">ROUND(G46*J46,0)</f>
        <v>102</v>
      </c>
      <c r="L46" s="6" t="n">
        <f aca="false">ROUND(I46*G46*F46,2)</f>
        <v>154</v>
      </c>
      <c r="M46" s="3" t="n">
        <v>133.5</v>
      </c>
      <c r="N46" s="5" t="n">
        <f aca="false">IFERROR(ROUND(K46/M46,2),0)</f>
        <v>0.76</v>
      </c>
      <c r="O46" s="3" t="s">
        <v>31</v>
      </c>
    </row>
    <row r="47" customFormat="false" ht="15" hidden="false" customHeight="false" outlineLevel="0" collapsed="false">
      <c r="A47" s="3" t="s">
        <v>23</v>
      </c>
      <c r="B47" s="3" t="s">
        <v>28</v>
      </c>
      <c r="C47" s="3" t="s">
        <v>29</v>
      </c>
      <c r="D47" s="3" t="s">
        <v>30</v>
      </c>
      <c r="E47" s="3" t="s">
        <v>19</v>
      </c>
      <c r="F47" s="4" t="n">
        <v>22</v>
      </c>
      <c r="G47" s="3" t="n">
        <v>3</v>
      </c>
      <c r="H47" s="3" t="n">
        <v>30</v>
      </c>
      <c r="I47" s="3" t="n">
        <v>1</v>
      </c>
      <c r="J47" s="5" t="n">
        <f aca="false">H47-I47</f>
        <v>29</v>
      </c>
      <c r="K47" s="5" t="n">
        <f aca="false">ROUND(G47*J47,0)</f>
        <v>87</v>
      </c>
      <c r="L47" s="6" t="n">
        <f aca="false">ROUND(I47*G47*F47,2)</f>
        <v>66</v>
      </c>
      <c r="M47" s="3" t="n">
        <v>61.6</v>
      </c>
      <c r="N47" s="5" t="n">
        <f aca="false">IFERROR(ROUND(K47/M47,2),0)</f>
        <v>1.41</v>
      </c>
      <c r="O47" s="3" t="s">
        <v>31</v>
      </c>
    </row>
    <row r="48" customFormat="false" ht="15" hidden="false" customHeight="false" outlineLevel="0" collapsed="false">
      <c r="A48" s="3" t="s">
        <v>24</v>
      </c>
      <c r="B48" s="3" t="s">
        <v>28</v>
      </c>
      <c r="C48" s="3" t="s">
        <v>29</v>
      </c>
      <c r="D48" s="3" t="s">
        <v>30</v>
      </c>
      <c r="E48" s="3" t="s">
        <v>19</v>
      </c>
      <c r="F48" s="4" t="n">
        <v>22</v>
      </c>
      <c r="G48" s="3" t="n">
        <v>3.8</v>
      </c>
      <c r="H48" s="3" t="n">
        <v>31</v>
      </c>
      <c r="I48" s="3" t="n">
        <v>1</v>
      </c>
      <c r="J48" s="5" t="n">
        <f aca="false">H48-I48</f>
        <v>30</v>
      </c>
      <c r="K48" s="5" t="n">
        <f aca="false">ROUND(G48*J48,0)</f>
        <v>114</v>
      </c>
      <c r="L48" s="6" t="n">
        <f aca="false">ROUND(I48*G48*F48,2)</f>
        <v>83.6</v>
      </c>
      <c r="M48" s="3" t="n">
        <v>79.2</v>
      </c>
      <c r="N48" s="5" t="n">
        <f aca="false">IFERROR(ROUND(K48/M48,2),0)</f>
        <v>1.44</v>
      </c>
      <c r="O48" s="3" t="s">
        <v>31</v>
      </c>
    </row>
    <row r="49" customFormat="false" ht="15" hidden="false" customHeight="false" outlineLevel="0" collapsed="false">
      <c r="A49" s="3" t="s">
        <v>25</v>
      </c>
      <c r="B49" s="3" t="s">
        <v>28</v>
      </c>
      <c r="C49" s="3" t="s">
        <v>29</v>
      </c>
      <c r="D49" s="3" t="s">
        <v>30</v>
      </c>
      <c r="E49" s="3" t="s">
        <v>19</v>
      </c>
      <c r="F49" s="4" t="n">
        <v>22</v>
      </c>
      <c r="G49" s="3" t="n">
        <v>2.2</v>
      </c>
      <c r="H49" s="3" t="n">
        <v>30</v>
      </c>
      <c r="I49" s="3" t="n">
        <v>2</v>
      </c>
      <c r="J49" s="5" t="n">
        <f aca="false">H49-I49</f>
        <v>28</v>
      </c>
      <c r="K49" s="5" t="n">
        <f aca="false">ROUND(G49*J49,0)</f>
        <v>62</v>
      </c>
      <c r="L49" s="6" t="n">
        <f aca="false">ROUND(I49*G49*F49,2)</f>
        <v>96.8</v>
      </c>
      <c r="M49" s="3" t="n">
        <v>135.8</v>
      </c>
      <c r="N49" s="5" t="n">
        <f aca="false">IFERROR(ROUND(K49/M49,2),0)</f>
        <v>0.46</v>
      </c>
      <c r="O49" s="3" t="s">
        <v>31</v>
      </c>
    </row>
    <row r="50" customFormat="false" ht="15" hidden="false" customHeight="false" outlineLevel="0" collapsed="false">
      <c r="A50" s="3" t="s">
        <v>15</v>
      </c>
      <c r="B50" s="3" t="s">
        <v>16</v>
      </c>
      <c r="C50" s="3" t="s">
        <v>32</v>
      </c>
      <c r="D50" s="3" t="s">
        <v>33</v>
      </c>
      <c r="E50" s="3" t="s">
        <v>34</v>
      </c>
      <c r="F50" s="4" t="n">
        <v>60</v>
      </c>
      <c r="G50" s="3" t="n">
        <v>10.2</v>
      </c>
      <c r="H50" s="3" t="n">
        <v>31</v>
      </c>
      <c r="I50" s="3" t="n">
        <v>11</v>
      </c>
      <c r="J50" s="5" t="n">
        <f aca="false">H50-I50</f>
        <v>20</v>
      </c>
      <c r="K50" s="5" t="n">
        <f aca="false">ROUND(G50*J50,0)</f>
        <v>204</v>
      </c>
      <c r="L50" s="6" t="n">
        <f aca="false">ROUND(I50*G50*F50,2)</f>
        <v>6732</v>
      </c>
      <c r="M50" s="3" t="n">
        <v>35.4</v>
      </c>
      <c r="N50" s="5" t="n">
        <f aca="false">IFERROR(ROUND(K50/M50,2),0)</f>
        <v>5.76</v>
      </c>
      <c r="O50" s="3" t="s">
        <v>20</v>
      </c>
    </row>
    <row r="51" customFormat="false" ht="15" hidden="false" customHeight="false" outlineLevel="0" collapsed="false">
      <c r="A51" s="3" t="s">
        <v>21</v>
      </c>
      <c r="B51" s="3" t="s">
        <v>16</v>
      </c>
      <c r="C51" s="3" t="s">
        <v>32</v>
      </c>
      <c r="D51" s="3" t="s">
        <v>33</v>
      </c>
      <c r="E51" s="3" t="s">
        <v>34</v>
      </c>
      <c r="F51" s="4" t="n">
        <v>60</v>
      </c>
      <c r="G51" s="3" t="n">
        <v>16.6</v>
      </c>
      <c r="H51" s="3" t="n">
        <v>28</v>
      </c>
      <c r="I51" s="3" t="n">
        <v>12</v>
      </c>
      <c r="J51" s="5" t="n">
        <f aca="false">H51-I51</f>
        <v>16</v>
      </c>
      <c r="K51" s="5" t="n">
        <f aca="false">ROUND(G51*J51,0)</f>
        <v>266</v>
      </c>
      <c r="L51" s="6" t="n">
        <f aca="false">ROUND(I51*G51*F51,2)</f>
        <v>11952</v>
      </c>
      <c r="M51" s="3" t="n">
        <v>34.1</v>
      </c>
      <c r="N51" s="5" t="n">
        <f aca="false">IFERROR(ROUND(K51/M51,2),0)</f>
        <v>7.8</v>
      </c>
      <c r="O51" s="3" t="s">
        <v>20</v>
      </c>
    </row>
    <row r="52" customFormat="false" ht="15" hidden="false" customHeight="false" outlineLevel="0" collapsed="false">
      <c r="A52" s="3" t="s">
        <v>22</v>
      </c>
      <c r="B52" s="3" t="s">
        <v>16</v>
      </c>
      <c r="C52" s="3" t="s">
        <v>32</v>
      </c>
      <c r="D52" s="3" t="s">
        <v>33</v>
      </c>
      <c r="E52" s="3" t="s">
        <v>34</v>
      </c>
      <c r="F52" s="4" t="n">
        <v>60</v>
      </c>
      <c r="G52" s="3" t="n">
        <v>10.5</v>
      </c>
      <c r="H52" s="3" t="n">
        <v>31</v>
      </c>
      <c r="I52" s="3" t="n">
        <v>11</v>
      </c>
      <c r="J52" s="5" t="n">
        <f aca="false">H52-I52</f>
        <v>20</v>
      </c>
      <c r="K52" s="5" t="n">
        <f aca="false">ROUND(G52*J52,0)</f>
        <v>210</v>
      </c>
      <c r="L52" s="6" t="n">
        <f aca="false">ROUND(I52*G52*F52,2)</f>
        <v>6930</v>
      </c>
      <c r="M52" s="3" t="n">
        <v>38.7</v>
      </c>
      <c r="N52" s="5" t="n">
        <f aca="false">IFERROR(ROUND(K52/M52,2),0)</f>
        <v>5.43</v>
      </c>
      <c r="O52" s="3" t="s">
        <v>20</v>
      </c>
    </row>
    <row r="53" customFormat="false" ht="15" hidden="false" customHeight="false" outlineLevel="0" collapsed="false">
      <c r="A53" s="3" t="s">
        <v>23</v>
      </c>
      <c r="B53" s="3" t="s">
        <v>16</v>
      </c>
      <c r="C53" s="3" t="s">
        <v>32</v>
      </c>
      <c r="D53" s="3" t="s">
        <v>33</v>
      </c>
      <c r="E53" s="3" t="s">
        <v>34</v>
      </c>
      <c r="F53" s="4" t="n">
        <v>60</v>
      </c>
      <c r="G53" s="3" t="n">
        <v>10.8</v>
      </c>
      <c r="H53" s="3" t="n">
        <v>30</v>
      </c>
      <c r="I53" s="3" t="n">
        <v>12</v>
      </c>
      <c r="J53" s="5" t="n">
        <f aca="false">H53-I53</f>
        <v>18</v>
      </c>
      <c r="K53" s="5" t="n">
        <f aca="false">ROUND(G53*J53,0)</f>
        <v>194</v>
      </c>
      <c r="L53" s="6" t="n">
        <f aca="false">ROUND(I53*G53*F53,2)</f>
        <v>7776</v>
      </c>
      <c r="M53" s="3" t="n">
        <v>36.8</v>
      </c>
      <c r="N53" s="5" t="n">
        <f aca="false">IFERROR(ROUND(K53/M53,2),0)</f>
        <v>5.27</v>
      </c>
      <c r="O53" s="3" t="s">
        <v>20</v>
      </c>
    </row>
    <row r="54" customFormat="false" ht="15" hidden="false" customHeight="false" outlineLevel="0" collapsed="false">
      <c r="A54" s="3" t="s">
        <v>24</v>
      </c>
      <c r="B54" s="3" t="s">
        <v>16</v>
      </c>
      <c r="C54" s="3" t="s">
        <v>32</v>
      </c>
      <c r="D54" s="3" t="s">
        <v>33</v>
      </c>
      <c r="E54" s="3" t="s">
        <v>34</v>
      </c>
      <c r="F54" s="4" t="n">
        <v>60</v>
      </c>
      <c r="G54" s="3" t="n">
        <v>12.6</v>
      </c>
      <c r="H54" s="3" t="n">
        <v>31</v>
      </c>
      <c r="I54" s="3" t="n">
        <v>7</v>
      </c>
      <c r="J54" s="5" t="n">
        <f aca="false">H54-I54</f>
        <v>24</v>
      </c>
      <c r="K54" s="5" t="n">
        <f aca="false">ROUND(G54*J54,0)</f>
        <v>302</v>
      </c>
      <c r="L54" s="6" t="n">
        <f aca="false">ROUND(I54*G54*F54,2)</f>
        <v>5292</v>
      </c>
      <c r="M54" s="3" t="n">
        <v>38.2</v>
      </c>
      <c r="N54" s="5" t="n">
        <f aca="false">IFERROR(ROUND(K54/M54,2),0)</f>
        <v>7.91</v>
      </c>
      <c r="O54" s="3" t="s">
        <v>20</v>
      </c>
    </row>
    <row r="55" customFormat="false" ht="15" hidden="false" customHeight="false" outlineLevel="0" collapsed="false">
      <c r="A55" s="3" t="s">
        <v>25</v>
      </c>
      <c r="B55" s="3" t="s">
        <v>16</v>
      </c>
      <c r="C55" s="3" t="s">
        <v>32</v>
      </c>
      <c r="D55" s="3" t="s">
        <v>33</v>
      </c>
      <c r="E55" s="3" t="s">
        <v>34</v>
      </c>
      <c r="F55" s="4" t="n">
        <v>60</v>
      </c>
      <c r="G55" s="3" t="n">
        <v>15</v>
      </c>
      <c r="H55" s="3" t="n">
        <v>30</v>
      </c>
      <c r="I55" s="3" t="n">
        <v>7</v>
      </c>
      <c r="J55" s="5" t="n">
        <f aca="false">H55-I55</f>
        <v>23</v>
      </c>
      <c r="K55" s="5" t="n">
        <f aca="false">ROUND(G55*J55,0)</f>
        <v>345</v>
      </c>
      <c r="L55" s="6" t="n">
        <f aca="false">ROUND(I55*G55*F55,2)</f>
        <v>6300</v>
      </c>
      <c r="M55" s="3" t="n">
        <v>32.8</v>
      </c>
      <c r="N55" s="5" t="n">
        <f aca="false">IFERROR(ROUND(K55/M55,2),0)</f>
        <v>10.52</v>
      </c>
      <c r="O55" s="3" t="s">
        <v>20</v>
      </c>
    </row>
    <row r="56" customFormat="false" ht="15" hidden="false" customHeight="false" outlineLevel="0" collapsed="false">
      <c r="A56" s="3" t="s">
        <v>15</v>
      </c>
      <c r="B56" s="3" t="s">
        <v>26</v>
      </c>
      <c r="C56" s="3" t="s">
        <v>32</v>
      </c>
      <c r="D56" s="3" t="s">
        <v>33</v>
      </c>
      <c r="E56" s="3" t="s">
        <v>34</v>
      </c>
      <c r="F56" s="4" t="n">
        <v>60</v>
      </c>
      <c r="G56" s="3" t="n">
        <v>10.4</v>
      </c>
      <c r="H56" s="3" t="n">
        <v>31</v>
      </c>
      <c r="I56" s="3" t="n">
        <v>9</v>
      </c>
      <c r="J56" s="5" t="n">
        <f aca="false">H56-I56</f>
        <v>22</v>
      </c>
      <c r="K56" s="5" t="n">
        <f aca="false">ROUND(G56*J56,0)</f>
        <v>229</v>
      </c>
      <c r="L56" s="6" t="n">
        <f aca="false">ROUND(I56*G56*F56,2)</f>
        <v>5616</v>
      </c>
      <c r="M56" s="3" t="n">
        <v>26</v>
      </c>
      <c r="N56" s="5" t="n">
        <f aca="false">IFERROR(ROUND(K56/M56,2),0)</f>
        <v>8.81</v>
      </c>
      <c r="O56" s="3" t="s">
        <v>20</v>
      </c>
    </row>
    <row r="57" customFormat="false" ht="15" hidden="false" customHeight="false" outlineLevel="0" collapsed="false">
      <c r="A57" s="3" t="s">
        <v>21</v>
      </c>
      <c r="B57" s="3" t="s">
        <v>26</v>
      </c>
      <c r="C57" s="3" t="s">
        <v>32</v>
      </c>
      <c r="D57" s="3" t="s">
        <v>33</v>
      </c>
      <c r="E57" s="3" t="s">
        <v>34</v>
      </c>
      <c r="F57" s="4" t="n">
        <v>60</v>
      </c>
      <c r="G57" s="3" t="n">
        <v>11.1</v>
      </c>
      <c r="H57" s="3" t="n">
        <v>28</v>
      </c>
      <c r="I57" s="3" t="n">
        <v>5</v>
      </c>
      <c r="J57" s="5" t="n">
        <f aca="false">H57-I57</f>
        <v>23</v>
      </c>
      <c r="K57" s="5" t="n">
        <f aca="false">ROUND(G57*J57,0)</f>
        <v>255</v>
      </c>
      <c r="L57" s="6" t="n">
        <f aca="false">ROUND(I57*G57*F57,2)</f>
        <v>3330</v>
      </c>
      <c r="M57" s="3" t="n">
        <v>21.2</v>
      </c>
      <c r="N57" s="5" t="n">
        <f aca="false">IFERROR(ROUND(K57/M57,2),0)</f>
        <v>12.03</v>
      </c>
      <c r="O57" s="3" t="s">
        <v>20</v>
      </c>
    </row>
    <row r="58" customFormat="false" ht="15" hidden="false" customHeight="false" outlineLevel="0" collapsed="false">
      <c r="A58" s="3" t="s">
        <v>22</v>
      </c>
      <c r="B58" s="3" t="s">
        <v>26</v>
      </c>
      <c r="C58" s="3" t="s">
        <v>32</v>
      </c>
      <c r="D58" s="3" t="s">
        <v>33</v>
      </c>
      <c r="E58" s="3" t="s">
        <v>34</v>
      </c>
      <c r="F58" s="4" t="n">
        <v>60</v>
      </c>
      <c r="G58" s="3" t="n">
        <v>8.4</v>
      </c>
      <c r="H58" s="3" t="n">
        <v>31</v>
      </c>
      <c r="I58" s="3" t="n">
        <v>4</v>
      </c>
      <c r="J58" s="5" t="n">
        <f aca="false">H58-I58</f>
        <v>27</v>
      </c>
      <c r="K58" s="5" t="n">
        <f aca="false">ROUND(G58*J58,0)</f>
        <v>227</v>
      </c>
      <c r="L58" s="6" t="n">
        <f aca="false">ROUND(I58*G58*F58,2)</f>
        <v>2016</v>
      </c>
      <c r="M58" s="3" t="n">
        <v>29.7</v>
      </c>
      <c r="N58" s="5" t="n">
        <f aca="false">IFERROR(ROUND(K58/M58,2),0)</f>
        <v>7.64</v>
      </c>
      <c r="O58" s="3" t="s">
        <v>20</v>
      </c>
    </row>
    <row r="59" customFormat="false" ht="15" hidden="false" customHeight="false" outlineLevel="0" collapsed="false">
      <c r="A59" s="3" t="s">
        <v>23</v>
      </c>
      <c r="B59" s="3" t="s">
        <v>26</v>
      </c>
      <c r="C59" s="3" t="s">
        <v>32</v>
      </c>
      <c r="D59" s="3" t="s">
        <v>33</v>
      </c>
      <c r="E59" s="3" t="s">
        <v>34</v>
      </c>
      <c r="F59" s="4" t="n">
        <v>60</v>
      </c>
      <c r="G59" s="3" t="n">
        <v>9.4</v>
      </c>
      <c r="H59" s="3" t="n">
        <v>30</v>
      </c>
      <c r="I59" s="3" t="n">
        <v>7</v>
      </c>
      <c r="J59" s="5" t="n">
        <f aca="false">H59-I59</f>
        <v>23</v>
      </c>
      <c r="K59" s="5" t="n">
        <f aca="false">ROUND(G59*J59,0)</f>
        <v>216</v>
      </c>
      <c r="L59" s="6" t="n">
        <f aca="false">ROUND(I59*G59*F59,2)</f>
        <v>3948</v>
      </c>
      <c r="M59" s="3" t="n">
        <v>15.2</v>
      </c>
      <c r="N59" s="5" t="n">
        <f aca="false">IFERROR(ROUND(K59/M59,2),0)</f>
        <v>14.21</v>
      </c>
      <c r="O59" s="3" t="s">
        <v>20</v>
      </c>
    </row>
    <row r="60" customFormat="false" ht="15" hidden="false" customHeight="false" outlineLevel="0" collapsed="false">
      <c r="A60" s="3" t="s">
        <v>24</v>
      </c>
      <c r="B60" s="3" t="s">
        <v>26</v>
      </c>
      <c r="C60" s="3" t="s">
        <v>32</v>
      </c>
      <c r="D60" s="3" t="s">
        <v>33</v>
      </c>
      <c r="E60" s="3" t="s">
        <v>34</v>
      </c>
      <c r="F60" s="4" t="n">
        <v>60</v>
      </c>
      <c r="G60" s="3" t="n">
        <v>12.2</v>
      </c>
      <c r="H60" s="3" t="n">
        <v>31</v>
      </c>
      <c r="I60" s="3" t="n">
        <v>4</v>
      </c>
      <c r="J60" s="5" t="n">
        <f aca="false">H60-I60</f>
        <v>27</v>
      </c>
      <c r="K60" s="5" t="n">
        <f aca="false">ROUND(G60*J60,0)</f>
        <v>329</v>
      </c>
      <c r="L60" s="6" t="n">
        <f aca="false">ROUND(I60*G60*F60,2)</f>
        <v>2928</v>
      </c>
      <c r="M60" s="3" t="n">
        <v>20.7</v>
      </c>
      <c r="N60" s="5" t="n">
        <f aca="false">IFERROR(ROUND(K60/M60,2),0)</f>
        <v>15.89</v>
      </c>
      <c r="O60" s="3" t="s">
        <v>20</v>
      </c>
    </row>
    <row r="61" customFormat="false" ht="15" hidden="false" customHeight="false" outlineLevel="0" collapsed="false">
      <c r="A61" s="3" t="s">
        <v>25</v>
      </c>
      <c r="B61" s="3" t="s">
        <v>26</v>
      </c>
      <c r="C61" s="3" t="s">
        <v>32</v>
      </c>
      <c r="D61" s="3" t="s">
        <v>33</v>
      </c>
      <c r="E61" s="3" t="s">
        <v>34</v>
      </c>
      <c r="F61" s="4" t="n">
        <v>60</v>
      </c>
      <c r="G61" s="3" t="n">
        <v>13.4</v>
      </c>
      <c r="H61" s="3" t="n">
        <v>30</v>
      </c>
      <c r="I61" s="3" t="n">
        <v>9</v>
      </c>
      <c r="J61" s="5" t="n">
        <f aca="false">H61-I61</f>
        <v>21</v>
      </c>
      <c r="K61" s="5" t="n">
        <f aca="false">ROUND(G61*J61,0)</f>
        <v>281</v>
      </c>
      <c r="L61" s="6" t="n">
        <f aca="false">ROUND(I61*G61*F61,2)</f>
        <v>7236</v>
      </c>
      <c r="M61" s="3" t="n">
        <v>16.8</v>
      </c>
      <c r="N61" s="5" t="n">
        <f aca="false">IFERROR(ROUND(K61/M61,2),0)</f>
        <v>16.73</v>
      </c>
      <c r="O61" s="3" t="s">
        <v>20</v>
      </c>
    </row>
    <row r="62" customFormat="false" ht="15" hidden="false" customHeight="false" outlineLevel="0" collapsed="false">
      <c r="A62" s="3" t="s">
        <v>15</v>
      </c>
      <c r="B62" s="3" t="s">
        <v>27</v>
      </c>
      <c r="C62" s="3" t="s">
        <v>32</v>
      </c>
      <c r="D62" s="3" t="s">
        <v>33</v>
      </c>
      <c r="E62" s="3" t="s">
        <v>34</v>
      </c>
      <c r="F62" s="4" t="n">
        <v>60</v>
      </c>
      <c r="G62" s="3" t="n">
        <v>8.5</v>
      </c>
      <c r="H62" s="3" t="n">
        <v>31</v>
      </c>
      <c r="I62" s="3" t="n">
        <v>11</v>
      </c>
      <c r="J62" s="5" t="n">
        <f aca="false">H62-I62</f>
        <v>20</v>
      </c>
      <c r="K62" s="5" t="n">
        <f aca="false">ROUND(G62*J62,0)</f>
        <v>170</v>
      </c>
      <c r="L62" s="6" t="n">
        <f aca="false">ROUND(I62*G62*F62,2)</f>
        <v>5610</v>
      </c>
      <c r="M62" s="3" t="n">
        <v>20.4</v>
      </c>
      <c r="N62" s="5" t="n">
        <f aca="false">IFERROR(ROUND(K62/M62,2),0)</f>
        <v>8.33</v>
      </c>
      <c r="O62" s="3" t="s">
        <v>20</v>
      </c>
    </row>
    <row r="63" customFormat="false" ht="15" hidden="false" customHeight="false" outlineLevel="0" collapsed="false">
      <c r="A63" s="3" t="s">
        <v>21</v>
      </c>
      <c r="B63" s="3" t="s">
        <v>27</v>
      </c>
      <c r="C63" s="3" t="s">
        <v>32</v>
      </c>
      <c r="D63" s="3" t="s">
        <v>33</v>
      </c>
      <c r="E63" s="3" t="s">
        <v>34</v>
      </c>
      <c r="F63" s="4" t="n">
        <v>60</v>
      </c>
      <c r="G63" s="3" t="n">
        <v>7.9</v>
      </c>
      <c r="H63" s="3" t="n">
        <v>28</v>
      </c>
      <c r="I63" s="3" t="n">
        <v>11</v>
      </c>
      <c r="J63" s="5" t="n">
        <f aca="false">H63-I63</f>
        <v>17</v>
      </c>
      <c r="K63" s="5" t="n">
        <f aca="false">ROUND(G63*J63,0)</f>
        <v>134</v>
      </c>
      <c r="L63" s="6" t="n">
        <f aca="false">ROUND(I63*G63*F63,2)</f>
        <v>5214</v>
      </c>
      <c r="M63" s="3" t="n">
        <v>21.1</v>
      </c>
      <c r="N63" s="5" t="n">
        <f aca="false">IFERROR(ROUND(K63/M63,2),0)</f>
        <v>6.35</v>
      </c>
      <c r="O63" s="3" t="s">
        <v>20</v>
      </c>
    </row>
    <row r="64" customFormat="false" ht="15" hidden="false" customHeight="false" outlineLevel="0" collapsed="false">
      <c r="A64" s="3" t="s">
        <v>22</v>
      </c>
      <c r="B64" s="3" t="s">
        <v>27</v>
      </c>
      <c r="C64" s="3" t="s">
        <v>32</v>
      </c>
      <c r="D64" s="3" t="s">
        <v>33</v>
      </c>
      <c r="E64" s="3" t="s">
        <v>34</v>
      </c>
      <c r="F64" s="4" t="n">
        <v>60</v>
      </c>
      <c r="G64" s="3" t="n">
        <v>9.8</v>
      </c>
      <c r="H64" s="3" t="n">
        <v>31</v>
      </c>
      <c r="I64" s="3" t="n">
        <v>10</v>
      </c>
      <c r="J64" s="5" t="n">
        <f aca="false">H64-I64</f>
        <v>21</v>
      </c>
      <c r="K64" s="5" t="n">
        <f aca="false">ROUND(G64*J64,0)</f>
        <v>206</v>
      </c>
      <c r="L64" s="6" t="n">
        <f aca="false">ROUND(I64*G64*F64,2)</f>
        <v>5880</v>
      </c>
      <c r="M64" s="3" t="n">
        <v>19.8</v>
      </c>
      <c r="N64" s="5" t="n">
        <f aca="false">IFERROR(ROUND(K64/M64,2),0)</f>
        <v>10.4</v>
      </c>
      <c r="O64" s="3" t="s">
        <v>20</v>
      </c>
    </row>
    <row r="65" customFormat="false" ht="15" hidden="false" customHeight="false" outlineLevel="0" collapsed="false">
      <c r="A65" s="3" t="s">
        <v>23</v>
      </c>
      <c r="B65" s="3" t="s">
        <v>27</v>
      </c>
      <c r="C65" s="3" t="s">
        <v>32</v>
      </c>
      <c r="D65" s="3" t="s">
        <v>33</v>
      </c>
      <c r="E65" s="3" t="s">
        <v>34</v>
      </c>
      <c r="F65" s="4" t="n">
        <v>60</v>
      </c>
      <c r="G65" s="3" t="n">
        <v>7.7</v>
      </c>
      <c r="H65" s="3" t="n">
        <v>30</v>
      </c>
      <c r="I65" s="3" t="n">
        <v>10</v>
      </c>
      <c r="J65" s="5" t="n">
        <f aca="false">H65-I65</f>
        <v>20</v>
      </c>
      <c r="K65" s="5" t="n">
        <f aca="false">ROUND(G65*J65,0)</f>
        <v>154</v>
      </c>
      <c r="L65" s="6" t="n">
        <f aca="false">ROUND(I65*G65*F65,2)</f>
        <v>4620</v>
      </c>
      <c r="M65" s="3" t="n">
        <v>23.9</v>
      </c>
      <c r="N65" s="5" t="n">
        <f aca="false">IFERROR(ROUND(K65/M65,2),0)</f>
        <v>6.44</v>
      </c>
      <c r="O65" s="3" t="s">
        <v>20</v>
      </c>
    </row>
    <row r="66" customFormat="false" ht="15" hidden="false" customHeight="false" outlineLevel="0" collapsed="false">
      <c r="A66" s="3" t="s">
        <v>24</v>
      </c>
      <c r="B66" s="3" t="s">
        <v>27</v>
      </c>
      <c r="C66" s="3" t="s">
        <v>32</v>
      </c>
      <c r="D66" s="3" t="s">
        <v>33</v>
      </c>
      <c r="E66" s="3" t="s">
        <v>34</v>
      </c>
      <c r="F66" s="4" t="n">
        <v>60</v>
      </c>
      <c r="G66" s="3" t="n">
        <v>9.4</v>
      </c>
      <c r="H66" s="3" t="n">
        <v>31</v>
      </c>
      <c r="I66" s="3" t="n">
        <v>4</v>
      </c>
      <c r="J66" s="5" t="n">
        <f aca="false">H66-I66</f>
        <v>27</v>
      </c>
      <c r="K66" s="5" t="n">
        <f aca="false">ROUND(G66*J66,0)</f>
        <v>254</v>
      </c>
      <c r="L66" s="6" t="n">
        <f aca="false">ROUND(I66*G66*F66,2)</f>
        <v>2256</v>
      </c>
      <c r="M66" s="3" t="n">
        <v>31.8</v>
      </c>
      <c r="N66" s="5" t="n">
        <f aca="false">IFERROR(ROUND(K66/M66,2),0)</f>
        <v>7.99</v>
      </c>
      <c r="O66" s="3" t="s">
        <v>20</v>
      </c>
    </row>
    <row r="67" customFormat="false" ht="15" hidden="false" customHeight="false" outlineLevel="0" collapsed="false">
      <c r="A67" s="3" t="s">
        <v>25</v>
      </c>
      <c r="B67" s="3" t="s">
        <v>27</v>
      </c>
      <c r="C67" s="3" t="s">
        <v>32</v>
      </c>
      <c r="D67" s="3" t="s">
        <v>33</v>
      </c>
      <c r="E67" s="3" t="s">
        <v>34</v>
      </c>
      <c r="F67" s="4" t="n">
        <v>60</v>
      </c>
      <c r="G67" s="3" t="n">
        <v>12.5</v>
      </c>
      <c r="H67" s="3" t="n">
        <v>30</v>
      </c>
      <c r="I67" s="3" t="n">
        <v>5</v>
      </c>
      <c r="J67" s="5" t="n">
        <f aca="false">H67-I67</f>
        <v>25</v>
      </c>
      <c r="K67" s="5" t="n">
        <f aca="false">ROUND(G67*J67,0)</f>
        <v>313</v>
      </c>
      <c r="L67" s="6" t="n">
        <f aca="false">ROUND(I67*G67*F67,2)</f>
        <v>3750</v>
      </c>
      <c r="M67" s="3" t="n">
        <v>16.5</v>
      </c>
      <c r="N67" s="5" t="n">
        <f aca="false">IFERROR(ROUND(K67/M67,2),0)</f>
        <v>18.97</v>
      </c>
      <c r="O67" s="3" t="s">
        <v>20</v>
      </c>
    </row>
    <row r="68" customFormat="false" ht="15" hidden="false" customHeight="false" outlineLevel="0" collapsed="false">
      <c r="A68" s="3" t="s">
        <v>15</v>
      </c>
      <c r="B68" s="3" t="s">
        <v>28</v>
      </c>
      <c r="C68" s="3" t="s">
        <v>32</v>
      </c>
      <c r="D68" s="3" t="s">
        <v>33</v>
      </c>
      <c r="E68" s="3" t="s">
        <v>34</v>
      </c>
      <c r="F68" s="4" t="n">
        <v>60</v>
      </c>
      <c r="G68" s="3" t="n">
        <v>9.9</v>
      </c>
      <c r="H68" s="3" t="n">
        <v>31</v>
      </c>
      <c r="I68" s="3" t="n">
        <v>5</v>
      </c>
      <c r="J68" s="5" t="n">
        <f aca="false">H68-I68</f>
        <v>26</v>
      </c>
      <c r="K68" s="5" t="n">
        <f aca="false">ROUND(G68*J68,0)</f>
        <v>257</v>
      </c>
      <c r="L68" s="6" t="n">
        <f aca="false">ROUND(I68*G68*F68,2)</f>
        <v>2970</v>
      </c>
      <c r="M68" s="3" t="n">
        <v>21.2</v>
      </c>
      <c r="N68" s="5" t="n">
        <f aca="false">IFERROR(ROUND(K68/M68,2),0)</f>
        <v>12.12</v>
      </c>
      <c r="O68" s="3" t="s">
        <v>20</v>
      </c>
    </row>
    <row r="69" customFormat="false" ht="15" hidden="false" customHeight="false" outlineLevel="0" collapsed="false">
      <c r="A69" s="3" t="s">
        <v>21</v>
      </c>
      <c r="B69" s="3" t="s">
        <v>28</v>
      </c>
      <c r="C69" s="3" t="s">
        <v>32</v>
      </c>
      <c r="D69" s="3" t="s">
        <v>33</v>
      </c>
      <c r="E69" s="3" t="s">
        <v>34</v>
      </c>
      <c r="F69" s="4" t="n">
        <v>60</v>
      </c>
      <c r="G69" s="3" t="n">
        <v>7.3</v>
      </c>
      <c r="H69" s="3" t="n">
        <v>28</v>
      </c>
      <c r="I69" s="3" t="n">
        <v>11</v>
      </c>
      <c r="J69" s="5" t="n">
        <f aca="false">H69-I69</f>
        <v>17</v>
      </c>
      <c r="K69" s="5" t="n">
        <f aca="false">ROUND(G69*J69,0)</f>
        <v>124</v>
      </c>
      <c r="L69" s="6" t="n">
        <f aca="false">ROUND(I69*G69*F69,2)</f>
        <v>4818</v>
      </c>
      <c r="M69" s="3" t="n">
        <v>18.5</v>
      </c>
      <c r="N69" s="5" t="n">
        <f aca="false">IFERROR(ROUND(K69/M69,2),0)</f>
        <v>6.7</v>
      </c>
      <c r="O69" s="3" t="s">
        <v>20</v>
      </c>
    </row>
    <row r="70" customFormat="false" ht="15" hidden="false" customHeight="false" outlineLevel="0" collapsed="false">
      <c r="A70" s="3" t="s">
        <v>22</v>
      </c>
      <c r="B70" s="3" t="s">
        <v>28</v>
      </c>
      <c r="C70" s="3" t="s">
        <v>32</v>
      </c>
      <c r="D70" s="3" t="s">
        <v>33</v>
      </c>
      <c r="E70" s="3" t="s">
        <v>34</v>
      </c>
      <c r="F70" s="4" t="n">
        <v>60</v>
      </c>
      <c r="G70" s="3" t="n">
        <v>7.3</v>
      </c>
      <c r="H70" s="3" t="n">
        <v>31</v>
      </c>
      <c r="I70" s="3" t="n">
        <v>11</v>
      </c>
      <c r="J70" s="5" t="n">
        <f aca="false">H70-I70</f>
        <v>20</v>
      </c>
      <c r="K70" s="5" t="n">
        <f aca="false">ROUND(G70*J70,0)</f>
        <v>146</v>
      </c>
      <c r="L70" s="6" t="n">
        <f aca="false">ROUND(I70*G70*F70,2)</f>
        <v>4818</v>
      </c>
      <c r="M70" s="3" t="n">
        <v>21.2</v>
      </c>
      <c r="N70" s="5" t="n">
        <f aca="false">IFERROR(ROUND(K70/M70,2),0)</f>
        <v>6.89</v>
      </c>
      <c r="O70" s="3" t="s">
        <v>20</v>
      </c>
    </row>
    <row r="71" customFormat="false" ht="15" hidden="false" customHeight="false" outlineLevel="0" collapsed="false">
      <c r="A71" s="3" t="s">
        <v>23</v>
      </c>
      <c r="B71" s="3" t="s">
        <v>28</v>
      </c>
      <c r="C71" s="3" t="s">
        <v>32</v>
      </c>
      <c r="D71" s="3" t="s">
        <v>33</v>
      </c>
      <c r="E71" s="3" t="s">
        <v>34</v>
      </c>
      <c r="F71" s="4" t="n">
        <v>60</v>
      </c>
      <c r="G71" s="3" t="n">
        <v>10.8</v>
      </c>
      <c r="H71" s="3" t="n">
        <v>30</v>
      </c>
      <c r="I71" s="3" t="n">
        <v>11</v>
      </c>
      <c r="J71" s="5" t="n">
        <f aca="false">H71-I71</f>
        <v>19</v>
      </c>
      <c r="K71" s="5" t="n">
        <f aca="false">ROUND(G71*J71,0)</f>
        <v>205</v>
      </c>
      <c r="L71" s="6" t="n">
        <f aca="false">ROUND(I71*G71*F71,2)</f>
        <v>7128</v>
      </c>
      <c r="M71" s="3" t="n">
        <v>35.2</v>
      </c>
      <c r="N71" s="5" t="n">
        <f aca="false">IFERROR(ROUND(K71/M71,2),0)</f>
        <v>5.82</v>
      </c>
      <c r="O71" s="3" t="s">
        <v>20</v>
      </c>
    </row>
    <row r="72" customFormat="false" ht="15" hidden="false" customHeight="false" outlineLevel="0" collapsed="false">
      <c r="A72" s="3" t="s">
        <v>24</v>
      </c>
      <c r="B72" s="3" t="s">
        <v>28</v>
      </c>
      <c r="C72" s="3" t="s">
        <v>32</v>
      </c>
      <c r="D72" s="3" t="s">
        <v>33</v>
      </c>
      <c r="E72" s="3" t="s">
        <v>34</v>
      </c>
      <c r="F72" s="4" t="n">
        <v>60</v>
      </c>
      <c r="G72" s="3" t="n">
        <v>10.5</v>
      </c>
      <c r="H72" s="3" t="n">
        <v>31</v>
      </c>
      <c r="I72" s="3" t="n">
        <v>5</v>
      </c>
      <c r="J72" s="5" t="n">
        <f aca="false">H72-I72</f>
        <v>26</v>
      </c>
      <c r="K72" s="5" t="n">
        <f aca="false">ROUND(G72*J72,0)</f>
        <v>273</v>
      </c>
      <c r="L72" s="6" t="n">
        <f aca="false">ROUND(I72*G72*F72,2)</f>
        <v>3150</v>
      </c>
      <c r="M72" s="3" t="n">
        <v>16.3</v>
      </c>
      <c r="N72" s="5" t="n">
        <f aca="false">IFERROR(ROUND(K72/M72,2),0)</f>
        <v>16.75</v>
      </c>
      <c r="O72" s="3" t="s">
        <v>20</v>
      </c>
    </row>
    <row r="73" customFormat="false" ht="15" hidden="false" customHeight="false" outlineLevel="0" collapsed="false">
      <c r="A73" s="3" t="s">
        <v>25</v>
      </c>
      <c r="B73" s="3" t="s">
        <v>28</v>
      </c>
      <c r="C73" s="3" t="s">
        <v>32</v>
      </c>
      <c r="D73" s="3" t="s">
        <v>33</v>
      </c>
      <c r="E73" s="3" t="s">
        <v>34</v>
      </c>
      <c r="F73" s="4" t="n">
        <v>60</v>
      </c>
      <c r="G73" s="3" t="n">
        <v>11.2</v>
      </c>
      <c r="H73" s="3" t="n">
        <v>30</v>
      </c>
      <c r="I73" s="3" t="n">
        <v>4</v>
      </c>
      <c r="J73" s="5" t="n">
        <f aca="false">H73-I73</f>
        <v>26</v>
      </c>
      <c r="K73" s="5" t="n">
        <f aca="false">ROUND(G73*J73,0)</f>
        <v>291</v>
      </c>
      <c r="L73" s="6" t="n">
        <f aca="false">ROUND(I73*G73*F73,2)</f>
        <v>2688</v>
      </c>
      <c r="M73" s="3" t="n">
        <v>39.2</v>
      </c>
      <c r="N73" s="5" t="n">
        <f aca="false">IFERROR(ROUND(K73/M73,2),0)</f>
        <v>7.42</v>
      </c>
      <c r="O73" s="3" t="s">
        <v>20</v>
      </c>
    </row>
    <row r="74" customFormat="false" ht="15" hidden="false" customHeight="false" outlineLevel="0" collapsed="false">
      <c r="A74" s="3" t="s">
        <v>15</v>
      </c>
      <c r="B74" s="3" t="s">
        <v>16</v>
      </c>
      <c r="C74" s="3" t="s">
        <v>35</v>
      </c>
      <c r="D74" s="3" t="s">
        <v>36</v>
      </c>
      <c r="E74" s="3" t="s">
        <v>34</v>
      </c>
      <c r="F74" s="4" t="n">
        <v>18</v>
      </c>
      <c r="G74" s="3" t="n">
        <v>5.7</v>
      </c>
      <c r="H74" s="3" t="n">
        <v>31</v>
      </c>
      <c r="I74" s="3" t="n">
        <v>0</v>
      </c>
      <c r="J74" s="5" t="n">
        <f aca="false">H74-I74</f>
        <v>31</v>
      </c>
      <c r="K74" s="5" t="n">
        <f aca="false">ROUND(G74*J74,0)</f>
        <v>177</v>
      </c>
      <c r="L74" s="6" t="n">
        <f aca="false">ROUND(I74*G74*F74,2)</f>
        <v>0</v>
      </c>
      <c r="M74" s="3" t="n">
        <v>73.3</v>
      </c>
      <c r="N74" s="5" t="n">
        <f aca="false">IFERROR(ROUND(K74/M74,2),0)</f>
        <v>2.41</v>
      </c>
      <c r="O74" s="3" t="s">
        <v>31</v>
      </c>
    </row>
    <row r="75" customFormat="false" ht="15" hidden="false" customHeight="false" outlineLevel="0" collapsed="false">
      <c r="A75" s="3" t="s">
        <v>21</v>
      </c>
      <c r="B75" s="3" t="s">
        <v>16</v>
      </c>
      <c r="C75" s="3" t="s">
        <v>35</v>
      </c>
      <c r="D75" s="3" t="s">
        <v>36</v>
      </c>
      <c r="E75" s="3" t="s">
        <v>34</v>
      </c>
      <c r="F75" s="4" t="n">
        <v>18</v>
      </c>
      <c r="G75" s="3" t="n">
        <v>4.1</v>
      </c>
      <c r="H75" s="3" t="n">
        <v>28</v>
      </c>
      <c r="I75" s="3" t="n">
        <v>0</v>
      </c>
      <c r="J75" s="5" t="n">
        <f aca="false">H75-I75</f>
        <v>28</v>
      </c>
      <c r="K75" s="5" t="n">
        <f aca="false">ROUND(G75*J75,0)</f>
        <v>115</v>
      </c>
      <c r="L75" s="6" t="n">
        <f aca="false">ROUND(I75*G75*F75,2)</f>
        <v>0</v>
      </c>
      <c r="M75" s="3" t="n">
        <v>129.2</v>
      </c>
      <c r="N75" s="5" t="n">
        <f aca="false">IFERROR(ROUND(K75/M75,2),0)</f>
        <v>0.89</v>
      </c>
      <c r="O75" s="3" t="s">
        <v>31</v>
      </c>
    </row>
    <row r="76" customFormat="false" ht="15" hidden="false" customHeight="false" outlineLevel="0" collapsed="false">
      <c r="A76" s="3" t="s">
        <v>22</v>
      </c>
      <c r="B76" s="3" t="s">
        <v>16</v>
      </c>
      <c r="C76" s="3" t="s">
        <v>35</v>
      </c>
      <c r="D76" s="3" t="s">
        <v>36</v>
      </c>
      <c r="E76" s="3" t="s">
        <v>34</v>
      </c>
      <c r="F76" s="4" t="n">
        <v>18</v>
      </c>
      <c r="G76" s="3" t="n">
        <v>5.6</v>
      </c>
      <c r="H76" s="3" t="n">
        <v>31</v>
      </c>
      <c r="I76" s="3" t="n">
        <v>0</v>
      </c>
      <c r="J76" s="5" t="n">
        <f aca="false">H76-I76</f>
        <v>31</v>
      </c>
      <c r="K76" s="5" t="n">
        <f aca="false">ROUND(G76*J76,0)</f>
        <v>174</v>
      </c>
      <c r="L76" s="6" t="n">
        <f aca="false">ROUND(I76*G76*F76,2)</f>
        <v>0</v>
      </c>
      <c r="M76" s="3" t="n">
        <v>90.3</v>
      </c>
      <c r="N76" s="5" t="n">
        <f aca="false">IFERROR(ROUND(K76/M76,2),0)</f>
        <v>1.93</v>
      </c>
      <c r="O76" s="3" t="s">
        <v>31</v>
      </c>
    </row>
    <row r="77" customFormat="false" ht="15" hidden="false" customHeight="false" outlineLevel="0" collapsed="false">
      <c r="A77" s="3" t="s">
        <v>23</v>
      </c>
      <c r="B77" s="3" t="s">
        <v>16</v>
      </c>
      <c r="C77" s="3" t="s">
        <v>35</v>
      </c>
      <c r="D77" s="3" t="s">
        <v>36</v>
      </c>
      <c r="E77" s="3" t="s">
        <v>34</v>
      </c>
      <c r="F77" s="4" t="n">
        <v>18</v>
      </c>
      <c r="G77" s="3" t="n">
        <v>5.9</v>
      </c>
      <c r="H77" s="3" t="n">
        <v>30</v>
      </c>
      <c r="I77" s="3" t="n">
        <v>1</v>
      </c>
      <c r="J77" s="5" t="n">
        <f aca="false">H77-I77</f>
        <v>29</v>
      </c>
      <c r="K77" s="5" t="n">
        <f aca="false">ROUND(G77*J77,0)</f>
        <v>171</v>
      </c>
      <c r="L77" s="6" t="n">
        <f aca="false">ROUND(I77*G77*F77,2)</f>
        <v>106.2</v>
      </c>
      <c r="M77" s="3" t="n">
        <v>134.1</v>
      </c>
      <c r="N77" s="5" t="n">
        <f aca="false">IFERROR(ROUND(K77/M77,2),0)</f>
        <v>1.28</v>
      </c>
      <c r="O77" s="3" t="s">
        <v>31</v>
      </c>
    </row>
    <row r="78" customFormat="false" ht="15" hidden="false" customHeight="false" outlineLevel="0" collapsed="false">
      <c r="A78" s="3" t="s">
        <v>24</v>
      </c>
      <c r="B78" s="3" t="s">
        <v>16</v>
      </c>
      <c r="C78" s="3" t="s">
        <v>35</v>
      </c>
      <c r="D78" s="3" t="s">
        <v>36</v>
      </c>
      <c r="E78" s="3" t="s">
        <v>34</v>
      </c>
      <c r="F78" s="4" t="n">
        <v>18</v>
      </c>
      <c r="G78" s="3" t="n">
        <v>5.2</v>
      </c>
      <c r="H78" s="3" t="n">
        <v>31</v>
      </c>
      <c r="I78" s="3" t="n">
        <v>1</v>
      </c>
      <c r="J78" s="5" t="n">
        <f aca="false">H78-I78</f>
        <v>30</v>
      </c>
      <c r="K78" s="5" t="n">
        <f aca="false">ROUND(G78*J78,0)</f>
        <v>156</v>
      </c>
      <c r="L78" s="6" t="n">
        <f aca="false">ROUND(I78*G78*F78,2)</f>
        <v>93.6</v>
      </c>
      <c r="M78" s="3" t="n">
        <v>93.8</v>
      </c>
      <c r="N78" s="5" t="n">
        <f aca="false">IFERROR(ROUND(K78/M78,2),0)</f>
        <v>1.66</v>
      </c>
      <c r="O78" s="3" t="s">
        <v>31</v>
      </c>
    </row>
    <row r="79" customFormat="false" ht="15" hidden="false" customHeight="false" outlineLevel="0" collapsed="false">
      <c r="A79" s="3" t="s">
        <v>25</v>
      </c>
      <c r="B79" s="3" t="s">
        <v>16</v>
      </c>
      <c r="C79" s="3" t="s">
        <v>35</v>
      </c>
      <c r="D79" s="3" t="s">
        <v>36</v>
      </c>
      <c r="E79" s="3" t="s">
        <v>34</v>
      </c>
      <c r="F79" s="4" t="n">
        <v>18</v>
      </c>
      <c r="G79" s="3" t="n">
        <v>5.8</v>
      </c>
      <c r="H79" s="3" t="n">
        <v>30</v>
      </c>
      <c r="I79" s="3" t="n">
        <v>2</v>
      </c>
      <c r="J79" s="5" t="n">
        <f aca="false">H79-I79</f>
        <v>28</v>
      </c>
      <c r="K79" s="5" t="n">
        <f aca="false">ROUND(G79*J79,0)</f>
        <v>162</v>
      </c>
      <c r="L79" s="6" t="n">
        <f aca="false">ROUND(I79*G79*F79,2)</f>
        <v>208.8</v>
      </c>
      <c r="M79" s="3" t="n">
        <v>112.9</v>
      </c>
      <c r="N79" s="5" t="n">
        <f aca="false">IFERROR(ROUND(K79/M79,2),0)</f>
        <v>1.43</v>
      </c>
      <c r="O79" s="3" t="s">
        <v>31</v>
      </c>
    </row>
    <row r="80" customFormat="false" ht="15" hidden="false" customHeight="false" outlineLevel="0" collapsed="false">
      <c r="A80" s="3" t="s">
        <v>15</v>
      </c>
      <c r="B80" s="3" t="s">
        <v>26</v>
      </c>
      <c r="C80" s="3" t="s">
        <v>35</v>
      </c>
      <c r="D80" s="3" t="s">
        <v>36</v>
      </c>
      <c r="E80" s="3" t="s">
        <v>34</v>
      </c>
      <c r="F80" s="4" t="n">
        <v>18</v>
      </c>
      <c r="G80" s="3" t="n">
        <v>3.5</v>
      </c>
      <c r="H80" s="3" t="n">
        <v>31</v>
      </c>
      <c r="I80" s="3" t="n">
        <v>0</v>
      </c>
      <c r="J80" s="5" t="n">
        <f aca="false">H80-I80</f>
        <v>31</v>
      </c>
      <c r="K80" s="5" t="n">
        <f aca="false">ROUND(G80*J80,0)</f>
        <v>109</v>
      </c>
      <c r="L80" s="6" t="n">
        <f aca="false">ROUND(I80*G80*F80,2)</f>
        <v>0</v>
      </c>
      <c r="M80" s="3" t="n">
        <v>83.7</v>
      </c>
      <c r="N80" s="5" t="n">
        <f aca="false">IFERROR(ROUND(K80/M80,2),0)</f>
        <v>1.3</v>
      </c>
      <c r="O80" s="3" t="s">
        <v>31</v>
      </c>
    </row>
    <row r="81" customFormat="false" ht="15" hidden="false" customHeight="false" outlineLevel="0" collapsed="false">
      <c r="A81" s="3" t="s">
        <v>21</v>
      </c>
      <c r="B81" s="3" t="s">
        <v>26</v>
      </c>
      <c r="C81" s="3" t="s">
        <v>35</v>
      </c>
      <c r="D81" s="3" t="s">
        <v>36</v>
      </c>
      <c r="E81" s="3" t="s">
        <v>34</v>
      </c>
      <c r="F81" s="4" t="n">
        <v>18</v>
      </c>
      <c r="G81" s="3" t="n">
        <v>4.9</v>
      </c>
      <c r="H81" s="3" t="n">
        <v>28</v>
      </c>
      <c r="I81" s="3" t="n">
        <v>2</v>
      </c>
      <c r="J81" s="5" t="n">
        <f aca="false">H81-I81</f>
        <v>26</v>
      </c>
      <c r="K81" s="5" t="n">
        <f aca="false">ROUND(G81*J81,0)</f>
        <v>127</v>
      </c>
      <c r="L81" s="6" t="n">
        <f aca="false">ROUND(I81*G81*F81,2)</f>
        <v>176.4</v>
      </c>
      <c r="M81" s="3" t="n">
        <v>118.9</v>
      </c>
      <c r="N81" s="5" t="n">
        <f aca="false">IFERROR(ROUND(K81/M81,2),0)</f>
        <v>1.07</v>
      </c>
      <c r="O81" s="3" t="s">
        <v>31</v>
      </c>
    </row>
    <row r="82" customFormat="false" ht="15" hidden="false" customHeight="false" outlineLevel="0" collapsed="false">
      <c r="A82" s="3" t="s">
        <v>22</v>
      </c>
      <c r="B82" s="3" t="s">
        <v>26</v>
      </c>
      <c r="C82" s="3" t="s">
        <v>35</v>
      </c>
      <c r="D82" s="3" t="s">
        <v>36</v>
      </c>
      <c r="E82" s="3" t="s">
        <v>34</v>
      </c>
      <c r="F82" s="4" t="n">
        <v>18</v>
      </c>
      <c r="G82" s="3" t="n">
        <v>2.2</v>
      </c>
      <c r="H82" s="3" t="n">
        <v>31</v>
      </c>
      <c r="I82" s="3" t="n">
        <v>1</v>
      </c>
      <c r="J82" s="5" t="n">
        <f aca="false">H82-I82</f>
        <v>30</v>
      </c>
      <c r="K82" s="5" t="n">
        <f aca="false">ROUND(G82*J82,0)</f>
        <v>66</v>
      </c>
      <c r="L82" s="6" t="n">
        <f aca="false">ROUND(I82*G82*F82,2)</f>
        <v>39.6</v>
      </c>
      <c r="M82" s="3" t="n">
        <v>64.6</v>
      </c>
      <c r="N82" s="5" t="n">
        <f aca="false">IFERROR(ROUND(K82/M82,2),0)</f>
        <v>1.02</v>
      </c>
      <c r="O82" s="3" t="s">
        <v>31</v>
      </c>
    </row>
    <row r="83" customFormat="false" ht="15" hidden="false" customHeight="false" outlineLevel="0" collapsed="false">
      <c r="A83" s="3" t="s">
        <v>23</v>
      </c>
      <c r="B83" s="3" t="s">
        <v>26</v>
      </c>
      <c r="C83" s="3" t="s">
        <v>35</v>
      </c>
      <c r="D83" s="3" t="s">
        <v>36</v>
      </c>
      <c r="E83" s="3" t="s">
        <v>34</v>
      </c>
      <c r="F83" s="4" t="n">
        <v>18</v>
      </c>
      <c r="G83" s="3" t="n">
        <v>3.8</v>
      </c>
      <c r="H83" s="3" t="n">
        <v>30</v>
      </c>
      <c r="I83" s="3" t="n">
        <v>2</v>
      </c>
      <c r="J83" s="5" t="n">
        <f aca="false">H83-I83</f>
        <v>28</v>
      </c>
      <c r="K83" s="5" t="n">
        <f aca="false">ROUND(G83*J83,0)</f>
        <v>106</v>
      </c>
      <c r="L83" s="6" t="n">
        <f aca="false">ROUND(I83*G83*F83,2)</f>
        <v>136.8</v>
      </c>
      <c r="M83" s="3" t="n">
        <v>133.6</v>
      </c>
      <c r="N83" s="5" t="n">
        <f aca="false">IFERROR(ROUND(K83/M83,2),0)</f>
        <v>0.79</v>
      </c>
      <c r="O83" s="3" t="s">
        <v>31</v>
      </c>
    </row>
    <row r="84" customFormat="false" ht="15" hidden="false" customHeight="false" outlineLevel="0" collapsed="false">
      <c r="A84" s="3" t="s">
        <v>24</v>
      </c>
      <c r="B84" s="3" t="s">
        <v>26</v>
      </c>
      <c r="C84" s="3" t="s">
        <v>35</v>
      </c>
      <c r="D84" s="3" t="s">
        <v>36</v>
      </c>
      <c r="E84" s="3" t="s">
        <v>34</v>
      </c>
      <c r="F84" s="4" t="n">
        <v>18</v>
      </c>
      <c r="G84" s="3" t="n">
        <v>3.6</v>
      </c>
      <c r="H84" s="3" t="n">
        <v>31</v>
      </c>
      <c r="I84" s="3" t="n">
        <v>0</v>
      </c>
      <c r="J84" s="5" t="n">
        <f aca="false">H84-I84</f>
        <v>31</v>
      </c>
      <c r="K84" s="5" t="n">
        <f aca="false">ROUND(G84*J84,0)</f>
        <v>112</v>
      </c>
      <c r="L84" s="6" t="n">
        <f aca="false">ROUND(I84*G84*F84,2)</f>
        <v>0</v>
      </c>
      <c r="M84" s="3" t="n">
        <v>136.9</v>
      </c>
      <c r="N84" s="5" t="n">
        <f aca="false">IFERROR(ROUND(K84/M84,2),0)</f>
        <v>0.82</v>
      </c>
      <c r="O84" s="3" t="s">
        <v>31</v>
      </c>
    </row>
    <row r="85" customFormat="false" ht="15" hidden="false" customHeight="false" outlineLevel="0" collapsed="false">
      <c r="A85" s="3" t="s">
        <v>25</v>
      </c>
      <c r="B85" s="3" t="s">
        <v>26</v>
      </c>
      <c r="C85" s="3" t="s">
        <v>35</v>
      </c>
      <c r="D85" s="3" t="s">
        <v>36</v>
      </c>
      <c r="E85" s="3" t="s">
        <v>34</v>
      </c>
      <c r="F85" s="4" t="n">
        <v>18</v>
      </c>
      <c r="G85" s="3" t="n">
        <v>2.2</v>
      </c>
      <c r="H85" s="3" t="n">
        <v>30</v>
      </c>
      <c r="I85" s="3" t="n">
        <v>0</v>
      </c>
      <c r="J85" s="5" t="n">
        <f aca="false">H85-I85</f>
        <v>30</v>
      </c>
      <c r="K85" s="5" t="n">
        <f aca="false">ROUND(G85*J85,0)</f>
        <v>66</v>
      </c>
      <c r="L85" s="6" t="n">
        <f aca="false">ROUND(I85*G85*F85,2)</f>
        <v>0</v>
      </c>
      <c r="M85" s="3" t="n">
        <v>65.5</v>
      </c>
      <c r="N85" s="5" t="n">
        <f aca="false">IFERROR(ROUND(K85/M85,2),0)</f>
        <v>1.01</v>
      </c>
      <c r="O85" s="3" t="s">
        <v>31</v>
      </c>
    </row>
    <row r="86" customFormat="false" ht="15" hidden="false" customHeight="false" outlineLevel="0" collapsed="false">
      <c r="A86" s="3" t="s">
        <v>15</v>
      </c>
      <c r="B86" s="3" t="s">
        <v>27</v>
      </c>
      <c r="C86" s="3" t="s">
        <v>35</v>
      </c>
      <c r="D86" s="3" t="s">
        <v>36</v>
      </c>
      <c r="E86" s="3" t="s">
        <v>34</v>
      </c>
      <c r="F86" s="4" t="n">
        <v>18</v>
      </c>
      <c r="G86" s="3" t="n">
        <v>2</v>
      </c>
      <c r="H86" s="3" t="n">
        <v>31</v>
      </c>
      <c r="I86" s="3" t="n">
        <v>0</v>
      </c>
      <c r="J86" s="5" t="n">
        <f aca="false">H86-I86</f>
        <v>31</v>
      </c>
      <c r="K86" s="5" t="n">
        <f aca="false">ROUND(G86*J86,0)</f>
        <v>62</v>
      </c>
      <c r="L86" s="6" t="n">
        <f aca="false">ROUND(I86*G86*F86,2)</f>
        <v>0</v>
      </c>
      <c r="M86" s="3" t="n">
        <v>92.3</v>
      </c>
      <c r="N86" s="5" t="n">
        <f aca="false">IFERROR(ROUND(K86/M86,2),0)</f>
        <v>0.67</v>
      </c>
      <c r="O86" s="3" t="s">
        <v>31</v>
      </c>
    </row>
    <row r="87" customFormat="false" ht="15" hidden="false" customHeight="false" outlineLevel="0" collapsed="false">
      <c r="A87" s="3" t="s">
        <v>21</v>
      </c>
      <c r="B87" s="3" t="s">
        <v>27</v>
      </c>
      <c r="C87" s="3" t="s">
        <v>35</v>
      </c>
      <c r="D87" s="3" t="s">
        <v>36</v>
      </c>
      <c r="E87" s="3" t="s">
        <v>34</v>
      </c>
      <c r="F87" s="4" t="n">
        <v>18</v>
      </c>
      <c r="G87" s="3" t="n">
        <v>4.3</v>
      </c>
      <c r="H87" s="3" t="n">
        <v>28</v>
      </c>
      <c r="I87" s="3" t="n">
        <v>2</v>
      </c>
      <c r="J87" s="5" t="n">
        <f aca="false">H87-I87</f>
        <v>26</v>
      </c>
      <c r="K87" s="5" t="n">
        <f aca="false">ROUND(G87*J87,0)</f>
        <v>112</v>
      </c>
      <c r="L87" s="6" t="n">
        <f aca="false">ROUND(I87*G87*F87,2)</f>
        <v>154.8</v>
      </c>
      <c r="M87" s="3" t="n">
        <v>79.7</v>
      </c>
      <c r="N87" s="5" t="n">
        <f aca="false">IFERROR(ROUND(K87/M87,2),0)</f>
        <v>1.41</v>
      </c>
      <c r="O87" s="3" t="s">
        <v>31</v>
      </c>
    </row>
    <row r="88" customFormat="false" ht="15" hidden="false" customHeight="false" outlineLevel="0" collapsed="false">
      <c r="A88" s="3" t="s">
        <v>22</v>
      </c>
      <c r="B88" s="3" t="s">
        <v>27</v>
      </c>
      <c r="C88" s="3" t="s">
        <v>35</v>
      </c>
      <c r="D88" s="3" t="s">
        <v>36</v>
      </c>
      <c r="E88" s="3" t="s">
        <v>34</v>
      </c>
      <c r="F88" s="4" t="n">
        <v>18</v>
      </c>
      <c r="G88" s="3" t="n">
        <v>3.4</v>
      </c>
      <c r="H88" s="3" t="n">
        <v>31</v>
      </c>
      <c r="I88" s="3" t="n">
        <v>2</v>
      </c>
      <c r="J88" s="5" t="n">
        <f aca="false">H88-I88</f>
        <v>29</v>
      </c>
      <c r="K88" s="5" t="n">
        <f aca="false">ROUND(G88*J88,0)</f>
        <v>99</v>
      </c>
      <c r="L88" s="6" t="n">
        <f aca="false">ROUND(I88*G88*F88,2)</f>
        <v>122.4</v>
      </c>
      <c r="M88" s="3" t="n">
        <v>66.6</v>
      </c>
      <c r="N88" s="5" t="n">
        <f aca="false">IFERROR(ROUND(K88/M88,2),0)</f>
        <v>1.49</v>
      </c>
      <c r="O88" s="3" t="s">
        <v>31</v>
      </c>
    </row>
    <row r="89" customFormat="false" ht="15" hidden="false" customHeight="false" outlineLevel="0" collapsed="false">
      <c r="A89" s="3" t="s">
        <v>23</v>
      </c>
      <c r="B89" s="3" t="s">
        <v>27</v>
      </c>
      <c r="C89" s="3" t="s">
        <v>35</v>
      </c>
      <c r="D89" s="3" t="s">
        <v>36</v>
      </c>
      <c r="E89" s="3" t="s">
        <v>34</v>
      </c>
      <c r="F89" s="4" t="n">
        <v>18</v>
      </c>
      <c r="G89" s="3" t="n">
        <v>3.6</v>
      </c>
      <c r="H89" s="3" t="n">
        <v>30</v>
      </c>
      <c r="I89" s="3" t="n">
        <v>2</v>
      </c>
      <c r="J89" s="5" t="n">
        <f aca="false">H89-I89</f>
        <v>28</v>
      </c>
      <c r="K89" s="5" t="n">
        <f aca="false">ROUND(G89*J89,0)</f>
        <v>101</v>
      </c>
      <c r="L89" s="6" t="n">
        <f aca="false">ROUND(I89*G89*F89,2)</f>
        <v>129.6</v>
      </c>
      <c r="M89" s="3" t="n">
        <v>101.8</v>
      </c>
      <c r="N89" s="5" t="n">
        <f aca="false">IFERROR(ROUND(K89/M89,2),0)</f>
        <v>0.99</v>
      </c>
      <c r="O89" s="3" t="s">
        <v>31</v>
      </c>
    </row>
    <row r="90" customFormat="false" ht="15" hidden="false" customHeight="false" outlineLevel="0" collapsed="false">
      <c r="A90" s="3" t="s">
        <v>24</v>
      </c>
      <c r="B90" s="3" t="s">
        <v>27</v>
      </c>
      <c r="C90" s="3" t="s">
        <v>35</v>
      </c>
      <c r="D90" s="3" t="s">
        <v>36</v>
      </c>
      <c r="E90" s="3" t="s">
        <v>34</v>
      </c>
      <c r="F90" s="4" t="n">
        <v>18</v>
      </c>
      <c r="G90" s="3" t="n">
        <v>4.3</v>
      </c>
      <c r="H90" s="3" t="n">
        <v>31</v>
      </c>
      <c r="I90" s="3" t="n">
        <v>0</v>
      </c>
      <c r="J90" s="5" t="n">
        <f aca="false">H90-I90</f>
        <v>31</v>
      </c>
      <c r="K90" s="5" t="n">
        <f aca="false">ROUND(G90*J90,0)</f>
        <v>133</v>
      </c>
      <c r="L90" s="6" t="n">
        <f aca="false">ROUND(I90*G90*F90,2)</f>
        <v>0</v>
      </c>
      <c r="M90" s="3" t="n">
        <v>113.6</v>
      </c>
      <c r="N90" s="5" t="n">
        <f aca="false">IFERROR(ROUND(K90/M90,2),0)</f>
        <v>1.17</v>
      </c>
      <c r="O90" s="3" t="s">
        <v>31</v>
      </c>
    </row>
    <row r="91" customFormat="false" ht="15" hidden="false" customHeight="false" outlineLevel="0" collapsed="false">
      <c r="A91" s="3" t="s">
        <v>25</v>
      </c>
      <c r="B91" s="3" t="s">
        <v>27</v>
      </c>
      <c r="C91" s="3" t="s">
        <v>35</v>
      </c>
      <c r="D91" s="3" t="s">
        <v>36</v>
      </c>
      <c r="E91" s="3" t="s">
        <v>34</v>
      </c>
      <c r="F91" s="4" t="n">
        <v>18</v>
      </c>
      <c r="G91" s="3" t="n">
        <v>2.6</v>
      </c>
      <c r="H91" s="3" t="n">
        <v>30</v>
      </c>
      <c r="I91" s="3" t="n">
        <v>1</v>
      </c>
      <c r="J91" s="5" t="n">
        <f aca="false">H91-I91</f>
        <v>29</v>
      </c>
      <c r="K91" s="5" t="n">
        <f aca="false">ROUND(G91*J91,0)</f>
        <v>75</v>
      </c>
      <c r="L91" s="6" t="n">
        <f aca="false">ROUND(I91*G91*F91,2)</f>
        <v>46.8</v>
      </c>
      <c r="M91" s="3" t="n">
        <v>91.7</v>
      </c>
      <c r="N91" s="5" t="n">
        <f aca="false">IFERROR(ROUND(K91/M91,2),0)</f>
        <v>0.82</v>
      </c>
      <c r="O91" s="3" t="s">
        <v>31</v>
      </c>
    </row>
    <row r="92" customFormat="false" ht="15" hidden="false" customHeight="false" outlineLevel="0" collapsed="false">
      <c r="A92" s="3" t="s">
        <v>15</v>
      </c>
      <c r="B92" s="3" t="s">
        <v>28</v>
      </c>
      <c r="C92" s="3" t="s">
        <v>35</v>
      </c>
      <c r="D92" s="3" t="s">
        <v>36</v>
      </c>
      <c r="E92" s="3" t="s">
        <v>34</v>
      </c>
      <c r="F92" s="4" t="n">
        <v>18</v>
      </c>
      <c r="G92" s="3" t="n">
        <v>3.2</v>
      </c>
      <c r="H92" s="3" t="n">
        <v>31</v>
      </c>
      <c r="I92" s="3" t="n">
        <v>1</v>
      </c>
      <c r="J92" s="5" t="n">
        <f aca="false">H92-I92</f>
        <v>30</v>
      </c>
      <c r="K92" s="5" t="n">
        <f aca="false">ROUND(G92*J92,0)</f>
        <v>96</v>
      </c>
      <c r="L92" s="6" t="n">
        <f aca="false">ROUND(I92*G92*F92,2)</f>
        <v>57.6</v>
      </c>
      <c r="M92" s="3" t="n">
        <v>96.6</v>
      </c>
      <c r="N92" s="5" t="n">
        <f aca="false">IFERROR(ROUND(K92/M92,2),0)</f>
        <v>0.99</v>
      </c>
      <c r="O92" s="3" t="s">
        <v>31</v>
      </c>
    </row>
    <row r="93" customFormat="false" ht="15" hidden="false" customHeight="false" outlineLevel="0" collapsed="false">
      <c r="A93" s="3" t="s">
        <v>21</v>
      </c>
      <c r="B93" s="3" t="s">
        <v>28</v>
      </c>
      <c r="C93" s="3" t="s">
        <v>35</v>
      </c>
      <c r="D93" s="3" t="s">
        <v>36</v>
      </c>
      <c r="E93" s="3" t="s">
        <v>34</v>
      </c>
      <c r="F93" s="4" t="n">
        <v>18</v>
      </c>
      <c r="G93" s="3" t="n">
        <v>3.8</v>
      </c>
      <c r="H93" s="3" t="n">
        <v>28</v>
      </c>
      <c r="I93" s="3" t="n">
        <v>0</v>
      </c>
      <c r="J93" s="5" t="n">
        <f aca="false">H93-I93</f>
        <v>28</v>
      </c>
      <c r="K93" s="5" t="n">
        <f aca="false">ROUND(G93*J93,0)</f>
        <v>106</v>
      </c>
      <c r="L93" s="6" t="n">
        <f aca="false">ROUND(I93*G93*F93,2)</f>
        <v>0</v>
      </c>
      <c r="M93" s="3" t="n">
        <v>60.7</v>
      </c>
      <c r="N93" s="5" t="n">
        <f aca="false">IFERROR(ROUND(K93/M93,2),0)</f>
        <v>1.75</v>
      </c>
      <c r="O93" s="3" t="s">
        <v>31</v>
      </c>
    </row>
    <row r="94" customFormat="false" ht="15" hidden="false" customHeight="false" outlineLevel="0" collapsed="false">
      <c r="A94" s="3" t="s">
        <v>22</v>
      </c>
      <c r="B94" s="3" t="s">
        <v>28</v>
      </c>
      <c r="C94" s="3" t="s">
        <v>35</v>
      </c>
      <c r="D94" s="3" t="s">
        <v>36</v>
      </c>
      <c r="E94" s="3" t="s">
        <v>34</v>
      </c>
      <c r="F94" s="4" t="n">
        <v>18</v>
      </c>
      <c r="G94" s="3" t="n">
        <v>3.1</v>
      </c>
      <c r="H94" s="3" t="n">
        <v>31</v>
      </c>
      <c r="I94" s="3" t="n">
        <v>2</v>
      </c>
      <c r="J94" s="5" t="n">
        <f aca="false">H94-I94</f>
        <v>29</v>
      </c>
      <c r="K94" s="5" t="n">
        <f aca="false">ROUND(G94*J94,0)</f>
        <v>90</v>
      </c>
      <c r="L94" s="6" t="n">
        <f aca="false">ROUND(I94*G94*F94,2)</f>
        <v>111.6</v>
      </c>
      <c r="M94" s="3" t="n">
        <v>139.7</v>
      </c>
      <c r="N94" s="5" t="n">
        <f aca="false">IFERROR(ROUND(K94/M94,2),0)</f>
        <v>0.64</v>
      </c>
      <c r="O94" s="3" t="s">
        <v>31</v>
      </c>
    </row>
    <row r="95" customFormat="false" ht="15" hidden="false" customHeight="false" outlineLevel="0" collapsed="false">
      <c r="A95" s="3" t="s">
        <v>23</v>
      </c>
      <c r="B95" s="3" t="s">
        <v>28</v>
      </c>
      <c r="C95" s="3" t="s">
        <v>35</v>
      </c>
      <c r="D95" s="3" t="s">
        <v>36</v>
      </c>
      <c r="E95" s="3" t="s">
        <v>34</v>
      </c>
      <c r="F95" s="4" t="n">
        <v>18</v>
      </c>
      <c r="G95" s="3" t="n">
        <v>1.8</v>
      </c>
      <c r="H95" s="3" t="n">
        <v>30</v>
      </c>
      <c r="I95" s="3" t="n">
        <v>0</v>
      </c>
      <c r="J95" s="5" t="n">
        <f aca="false">H95-I95</f>
        <v>30</v>
      </c>
      <c r="K95" s="5" t="n">
        <f aca="false">ROUND(G95*J95,0)</f>
        <v>54</v>
      </c>
      <c r="L95" s="6" t="n">
        <f aca="false">ROUND(I95*G95*F95,2)</f>
        <v>0</v>
      </c>
      <c r="M95" s="3" t="n">
        <v>100.5</v>
      </c>
      <c r="N95" s="5" t="n">
        <f aca="false">IFERROR(ROUND(K95/M95,2),0)</f>
        <v>0.54</v>
      </c>
      <c r="O95" s="3" t="s">
        <v>31</v>
      </c>
    </row>
    <row r="96" customFormat="false" ht="15" hidden="false" customHeight="false" outlineLevel="0" collapsed="false">
      <c r="A96" s="3" t="s">
        <v>24</v>
      </c>
      <c r="B96" s="3" t="s">
        <v>28</v>
      </c>
      <c r="C96" s="3" t="s">
        <v>35</v>
      </c>
      <c r="D96" s="3" t="s">
        <v>36</v>
      </c>
      <c r="E96" s="3" t="s">
        <v>34</v>
      </c>
      <c r="F96" s="4" t="n">
        <v>18</v>
      </c>
      <c r="G96" s="3" t="n">
        <v>1.9</v>
      </c>
      <c r="H96" s="3" t="n">
        <v>31</v>
      </c>
      <c r="I96" s="3" t="n">
        <v>1</v>
      </c>
      <c r="J96" s="5" t="n">
        <f aca="false">H96-I96</f>
        <v>30</v>
      </c>
      <c r="K96" s="5" t="n">
        <f aca="false">ROUND(G96*J96,0)</f>
        <v>57</v>
      </c>
      <c r="L96" s="6" t="n">
        <f aca="false">ROUND(I96*G96*F96,2)</f>
        <v>34.2</v>
      </c>
      <c r="M96" s="3" t="n">
        <v>130.5</v>
      </c>
      <c r="N96" s="5" t="n">
        <f aca="false">IFERROR(ROUND(K96/M96,2),0)</f>
        <v>0.44</v>
      </c>
      <c r="O96" s="3" t="s">
        <v>31</v>
      </c>
    </row>
    <row r="97" customFormat="false" ht="15" hidden="false" customHeight="false" outlineLevel="0" collapsed="false">
      <c r="A97" s="3" t="s">
        <v>25</v>
      </c>
      <c r="B97" s="3" t="s">
        <v>28</v>
      </c>
      <c r="C97" s="3" t="s">
        <v>35</v>
      </c>
      <c r="D97" s="3" t="s">
        <v>36</v>
      </c>
      <c r="E97" s="3" t="s">
        <v>34</v>
      </c>
      <c r="F97" s="4" t="n">
        <v>18</v>
      </c>
      <c r="G97" s="3" t="n">
        <v>3.7</v>
      </c>
      <c r="H97" s="3" t="n">
        <v>30</v>
      </c>
      <c r="I97" s="3" t="n">
        <v>1</v>
      </c>
      <c r="J97" s="5" t="n">
        <f aca="false">H97-I97</f>
        <v>29</v>
      </c>
      <c r="K97" s="5" t="n">
        <f aca="false">ROUND(G97*J97,0)</f>
        <v>107</v>
      </c>
      <c r="L97" s="6" t="n">
        <f aca="false">ROUND(I97*G97*F97,2)</f>
        <v>66.6</v>
      </c>
      <c r="M97" s="3" t="n">
        <v>82.8</v>
      </c>
      <c r="N97" s="5" t="n">
        <f aca="false">IFERROR(ROUND(K97/M97,2),0)</f>
        <v>1.29</v>
      </c>
      <c r="O97" s="3" t="s">
        <v>31</v>
      </c>
    </row>
    <row r="98" customFormat="false" ht="15" hidden="false" customHeight="false" outlineLevel="0" collapsed="false">
      <c r="A98" s="3" t="s">
        <v>15</v>
      </c>
      <c r="B98" s="3" t="s">
        <v>16</v>
      </c>
      <c r="C98" s="3" t="s">
        <v>37</v>
      </c>
      <c r="D98" s="3" t="s">
        <v>38</v>
      </c>
      <c r="E98" s="3" t="s">
        <v>39</v>
      </c>
      <c r="F98" s="4" t="n">
        <v>25</v>
      </c>
      <c r="G98" s="3" t="n">
        <v>12.8</v>
      </c>
      <c r="H98" s="3" t="n">
        <v>31</v>
      </c>
      <c r="I98" s="3" t="n">
        <v>12</v>
      </c>
      <c r="J98" s="5" t="n">
        <f aca="false">H98-I98</f>
        <v>19</v>
      </c>
      <c r="K98" s="5" t="n">
        <f aca="false">ROUND(G98*J98,0)</f>
        <v>243</v>
      </c>
      <c r="L98" s="6" t="n">
        <f aca="false">ROUND(I98*G98*F98,2)</f>
        <v>3840</v>
      </c>
      <c r="M98" s="3" t="n">
        <v>32.6</v>
      </c>
      <c r="N98" s="5" t="n">
        <f aca="false">IFERROR(ROUND(K98/M98,2),0)</f>
        <v>7.45</v>
      </c>
      <c r="O98" s="3" t="s">
        <v>20</v>
      </c>
    </row>
    <row r="99" customFormat="false" ht="15" hidden="false" customHeight="false" outlineLevel="0" collapsed="false">
      <c r="A99" s="3" t="s">
        <v>21</v>
      </c>
      <c r="B99" s="3" t="s">
        <v>16</v>
      </c>
      <c r="C99" s="3" t="s">
        <v>37</v>
      </c>
      <c r="D99" s="3" t="s">
        <v>38</v>
      </c>
      <c r="E99" s="3" t="s">
        <v>39</v>
      </c>
      <c r="F99" s="4" t="n">
        <v>25</v>
      </c>
      <c r="G99" s="3" t="n">
        <v>14</v>
      </c>
      <c r="H99" s="3" t="n">
        <v>28</v>
      </c>
      <c r="I99" s="3" t="n">
        <v>12</v>
      </c>
      <c r="J99" s="5" t="n">
        <f aca="false">H99-I99</f>
        <v>16</v>
      </c>
      <c r="K99" s="5" t="n">
        <f aca="false">ROUND(G99*J99,0)</f>
        <v>224</v>
      </c>
      <c r="L99" s="6" t="n">
        <f aca="false">ROUND(I99*G99*F99,2)</f>
        <v>4200</v>
      </c>
      <c r="M99" s="3" t="n">
        <v>15.2</v>
      </c>
      <c r="N99" s="5" t="n">
        <f aca="false">IFERROR(ROUND(K99/M99,2),0)</f>
        <v>14.74</v>
      </c>
      <c r="O99" s="3" t="s">
        <v>20</v>
      </c>
    </row>
    <row r="100" customFormat="false" ht="15" hidden="false" customHeight="false" outlineLevel="0" collapsed="false">
      <c r="A100" s="3" t="s">
        <v>22</v>
      </c>
      <c r="B100" s="3" t="s">
        <v>16</v>
      </c>
      <c r="C100" s="3" t="s">
        <v>37</v>
      </c>
      <c r="D100" s="3" t="s">
        <v>38</v>
      </c>
      <c r="E100" s="3" t="s">
        <v>39</v>
      </c>
      <c r="F100" s="4" t="n">
        <v>25</v>
      </c>
      <c r="G100" s="3" t="n">
        <v>15.5</v>
      </c>
      <c r="H100" s="3" t="n">
        <v>31</v>
      </c>
      <c r="I100" s="3" t="n">
        <v>8</v>
      </c>
      <c r="J100" s="5" t="n">
        <f aca="false">H100-I100</f>
        <v>23</v>
      </c>
      <c r="K100" s="5" t="n">
        <f aca="false">ROUND(G100*J100,0)</f>
        <v>357</v>
      </c>
      <c r="L100" s="6" t="n">
        <f aca="false">ROUND(I100*G100*F100,2)</f>
        <v>3100</v>
      </c>
      <c r="M100" s="3" t="n">
        <v>38.3</v>
      </c>
      <c r="N100" s="5" t="n">
        <f aca="false">IFERROR(ROUND(K100/M100,2),0)</f>
        <v>9.32</v>
      </c>
      <c r="O100" s="3" t="s">
        <v>20</v>
      </c>
    </row>
    <row r="101" customFormat="false" ht="15" hidden="false" customHeight="false" outlineLevel="0" collapsed="false">
      <c r="A101" s="3" t="s">
        <v>23</v>
      </c>
      <c r="B101" s="3" t="s">
        <v>16</v>
      </c>
      <c r="C101" s="3" t="s">
        <v>37</v>
      </c>
      <c r="D101" s="3" t="s">
        <v>38</v>
      </c>
      <c r="E101" s="3" t="s">
        <v>39</v>
      </c>
      <c r="F101" s="4" t="n">
        <v>25</v>
      </c>
      <c r="G101" s="3" t="n">
        <v>10.3</v>
      </c>
      <c r="H101" s="3" t="n">
        <v>30</v>
      </c>
      <c r="I101" s="3" t="n">
        <v>6</v>
      </c>
      <c r="J101" s="5" t="n">
        <f aca="false">H101-I101</f>
        <v>24</v>
      </c>
      <c r="K101" s="5" t="n">
        <f aca="false">ROUND(G101*J101,0)</f>
        <v>247</v>
      </c>
      <c r="L101" s="6" t="n">
        <f aca="false">ROUND(I101*G101*F101,2)</f>
        <v>1545</v>
      </c>
      <c r="M101" s="3" t="n">
        <v>21.6</v>
      </c>
      <c r="N101" s="5" t="n">
        <f aca="false">IFERROR(ROUND(K101/M101,2),0)</f>
        <v>11.44</v>
      </c>
      <c r="O101" s="3" t="s">
        <v>20</v>
      </c>
    </row>
    <row r="102" customFormat="false" ht="15" hidden="false" customHeight="false" outlineLevel="0" collapsed="false">
      <c r="A102" s="3" t="s">
        <v>24</v>
      </c>
      <c r="B102" s="3" t="s">
        <v>16</v>
      </c>
      <c r="C102" s="3" t="s">
        <v>37</v>
      </c>
      <c r="D102" s="3" t="s">
        <v>38</v>
      </c>
      <c r="E102" s="3" t="s">
        <v>39</v>
      </c>
      <c r="F102" s="4" t="n">
        <v>25</v>
      </c>
      <c r="G102" s="3" t="n">
        <v>16</v>
      </c>
      <c r="H102" s="3" t="n">
        <v>31</v>
      </c>
      <c r="I102" s="3" t="n">
        <v>12</v>
      </c>
      <c r="J102" s="5" t="n">
        <f aca="false">H102-I102</f>
        <v>19</v>
      </c>
      <c r="K102" s="5" t="n">
        <f aca="false">ROUND(G102*J102,0)</f>
        <v>304</v>
      </c>
      <c r="L102" s="6" t="n">
        <f aca="false">ROUND(I102*G102*F102,2)</f>
        <v>4800</v>
      </c>
      <c r="M102" s="3" t="n">
        <v>18.9</v>
      </c>
      <c r="N102" s="5" t="n">
        <f aca="false">IFERROR(ROUND(K102/M102,2),0)</f>
        <v>16.08</v>
      </c>
      <c r="O102" s="3" t="s">
        <v>20</v>
      </c>
    </row>
    <row r="103" customFormat="false" ht="15" hidden="false" customHeight="false" outlineLevel="0" collapsed="false">
      <c r="A103" s="3" t="s">
        <v>25</v>
      </c>
      <c r="B103" s="3" t="s">
        <v>16</v>
      </c>
      <c r="C103" s="3" t="s">
        <v>37</v>
      </c>
      <c r="D103" s="3" t="s">
        <v>38</v>
      </c>
      <c r="E103" s="3" t="s">
        <v>39</v>
      </c>
      <c r="F103" s="4" t="n">
        <v>25</v>
      </c>
      <c r="G103" s="3" t="n">
        <v>11.6</v>
      </c>
      <c r="H103" s="3" t="n">
        <v>30</v>
      </c>
      <c r="I103" s="3" t="n">
        <v>7</v>
      </c>
      <c r="J103" s="5" t="n">
        <f aca="false">H103-I103</f>
        <v>23</v>
      </c>
      <c r="K103" s="5" t="n">
        <f aca="false">ROUND(G103*J103,0)</f>
        <v>267</v>
      </c>
      <c r="L103" s="6" t="n">
        <f aca="false">ROUND(I103*G103*F103,2)</f>
        <v>2030</v>
      </c>
      <c r="M103" s="3" t="n">
        <v>32.9</v>
      </c>
      <c r="N103" s="5" t="n">
        <f aca="false">IFERROR(ROUND(K103/M103,2),0)</f>
        <v>8.12</v>
      </c>
      <c r="O103" s="3" t="s">
        <v>20</v>
      </c>
    </row>
    <row r="104" customFormat="false" ht="15" hidden="false" customHeight="false" outlineLevel="0" collapsed="false">
      <c r="A104" s="3" t="s">
        <v>15</v>
      </c>
      <c r="B104" s="3" t="s">
        <v>26</v>
      </c>
      <c r="C104" s="3" t="s">
        <v>37</v>
      </c>
      <c r="D104" s="3" t="s">
        <v>38</v>
      </c>
      <c r="E104" s="3" t="s">
        <v>39</v>
      </c>
      <c r="F104" s="4" t="n">
        <v>25</v>
      </c>
      <c r="G104" s="3" t="n">
        <v>9.2</v>
      </c>
      <c r="H104" s="3" t="n">
        <v>31</v>
      </c>
      <c r="I104" s="3" t="n">
        <v>8</v>
      </c>
      <c r="J104" s="5" t="n">
        <f aca="false">H104-I104</f>
        <v>23</v>
      </c>
      <c r="K104" s="5" t="n">
        <f aca="false">ROUND(G104*J104,0)</f>
        <v>212</v>
      </c>
      <c r="L104" s="6" t="n">
        <f aca="false">ROUND(I104*G104*F104,2)</f>
        <v>1840</v>
      </c>
      <c r="M104" s="3" t="n">
        <v>27.6</v>
      </c>
      <c r="N104" s="5" t="n">
        <f aca="false">IFERROR(ROUND(K104/M104,2),0)</f>
        <v>7.68</v>
      </c>
      <c r="O104" s="3" t="s">
        <v>20</v>
      </c>
    </row>
    <row r="105" customFormat="false" ht="15" hidden="false" customHeight="false" outlineLevel="0" collapsed="false">
      <c r="A105" s="3" t="s">
        <v>21</v>
      </c>
      <c r="B105" s="3" t="s">
        <v>26</v>
      </c>
      <c r="C105" s="3" t="s">
        <v>37</v>
      </c>
      <c r="D105" s="3" t="s">
        <v>38</v>
      </c>
      <c r="E105" s="3" t="s">
        <v>39</v>
      </c>
      <c r="F105" s="4" t="n">
        <v>25</v>
      </c>
      <c r="G105" s="3" t="n">
        <v>9.5</v>
      </c>
      <c r="H105" s="3" t="n">
        <v>28</v>
      </c>
      <c r="I105" s="3" t="n">
        <v>4</v>
      </c>
      <c r="J105" s="5" t="n">
        <f aca="false">H105-I105</f>
        <v>24</v>
      </c>
      <c r="K105" s="5" t="n">
        <f aca="false">ROUND(G105*J105,0)</f>
        <v>228</v>
      </c>
      <c r="L105" s="6" t="n">
        <f aca="false">ROUND(I105*G105*F105,2)</f>
        <v>950</v>
      </c>
      <c r="M105" s="3" t="n">
        <v>17.3</v>
      </c>
      <c r="N105" s="5" t="n">
        <f aca="false">IFERROR(ROUND(K105/M105,2),0)</f>
        <v>13.18</v>
      </c>
      <c r="O105" s="3" t="s">
        <v>20</v>
      </c>
    </row>
    <row r="106" customFormat="false" ht="15" hidden="false" customHeight="false" outlineLevel="0" collapsed="false">
      <c r="A106" s="3" t="s">
        <v>22</v>
      </c>
      <c r="B106" s="3" t="s">
        <v>26</v>
      </c>
      <c r="C106" s="3" t="s">
        <v>37</v>
      </c>
      <c r="D106" s="3" t="s">
        <v>38</v>
      </c>
      <c r="E106" s="3" t="s">
        <v>39</v>
      </c>
      <c r="F106" s="4" t="n">
        <v>25</v>
      </c>
      <c r="G106" s="3" t="n">
        <v>10.5</v>
      </c>
      <c r="H106" s="3" t="n">
        <v>31</v>
      </c>
      <c r="I106" s="3" t="n">
        <v>8</v>
      </c>
      <c r="J106" s="5" t="n">
        <f aca="false">H106-I106</f>
        <v>23</v>
      </c>
      <c r="K106" s="5" t="n">
        <f aca="false">ROUND(G106*J106,0)</f>
        <v>242</v>
      </c>
      <c r="L106" s="6" t="n">
        <f aca="false">ROUND(I106*G106*F106,2)</f>
        <v>2100</v>
      </c>
      <c r="M106" s="3" t="n">
        <v>16.1</v>
      </c>
      <c r="N106" s="5" t="n">
        <f aca="false">IFERROR(ROUND(K106/M106,2),0)</f>
        <v>15.03</v>
      </c>
      <c r="O106" s="3" t="s">
        <v>20</v>
      </c>
    </row>
    <row r="107" customFormat="false" ht="15" hidden="false" customHeight="false" outlineLevel="0" collapsed="false">
      <c r="A107" s="3" t="s">
        <v>23</v>
      </c>
      <c r="B107" s="3" t="s">
        <v>26</v>
      </c>
      <c r="C107" s="3" t="s">
        <v>37</v>
      </c>
      <c r="D107" s="3" t="s">
        <v>38</v>
      </c>
      <c r="E107" s="3" t="s">
        <v>39</v>
      </c>
      <c r="F107" s="4" t="n">
        <v>25</v>
      </c>
      <c r="G107" s="3" t="n">
        <v>10</v>
      </c>
      <c r="H107" s="3" t="n">
        <v>30</v>
      </c>
      <c r="I107" s="3" t="n">
        <v>6</v>
      </c>
      <c r="J107" s="5" t="n">
        <f aca="false">H107-I107</f>
        <v>24</v>
      </c>
      <c r="K107" s="5" t="n">
        <f aca="false">ROUND(G107*J107,0)</f>
        <v>240</v>
      </c>
      <c r="L107" s="6" t="n">
        <f aca="false">ROUND(I107*G107*F107,2)</f>
        <v>1500</v>
      </c>
      <c r="M107" s="3" t="n">
        <v>30.9</v>
      </c>
      <c r="N107" s="5" t="n">
        <f aca="false">IFERROR(ROUND(K107/M107,2),0)</f>
        <v>7.77</v>
      </c>
      <c r="O107" s="3" t="s">
        <v>20</v>
      </c>
    </row>
    <row r="108" customFormat="false" ht="15" hidden="false" customHeight="false" outlineLevel="0" collapsed="false">
      <c r="A108" s="3" t="s">
        <v>24</v>
      </c>
      <c r="B108" s="3" t="s">
        <v>26</v>
      </c>
      <c r="C108" s="3" t="s">
        <v>37</v>
      </c>
      <c r="D108" s="3" t="s">
        <v>38</v>
      </c>
      <c r="E108" s="3" t="s">
        <v>39</v>
      </c>
      <c r="F108" s="4" t="n">
        <v>25</v>
      </c>
      <c r="G108" s="3" t="n">
        <v>9.6</v>
      </c>
      <c r="H108" s="3" t="n">
        <v>31</v>
      </c>
      <c r="I108" s="3" t="n">
        <v>11</v>
      </c>
      <c r="J108" s="5" t="n">
        <f aca="false">H108-I108</f>
        <v>20</v>
      </c>
      <c r="K108" s="5" t="n">
        <f aca="false">ROUND(G108*J108,0)</f>
        <v>192</v>
      </c>
      <c r="L108" s="6" t="n">
        <f aca="false">ROUND(I108*G108*F108,2)</f>
        <v>2640</v>
      </c>
      <c r="M108" s="3" t="n">
        <v>28.8</v>
      </c>
      <c r="N108" s="5" t="n">
        <f aca="false">IFERROR(ROUND(K108/M108,2),0)</f>
        <v>6.67</v>
      </c>
      <c r="O108" s="3" t="s">
        <v>20</v>
      </c>
    </row>
    <row r="109" customFormat="false" ht="15" hidden="false" customHeight="false" outlineLevel="0" collapsed="false">
      <c r="A109" s="3" t="s">
        <v>25</v>
      </c>
      <c r="B109" s="3" t="s">
        <v>26</v>
      </c>
      <c r="C109" s="3" t="s">
        <v>37</v>
      </c>
      <c r="D109" s="3" t="s">
        <v>38</v>
      </c>
      <c r="E109" s="3" t="s">
        <v>39</v>
      </c>
      <c r="F109" s="4" t="n">
        <v>25</v>
      </c>
      <c r="G109" s="3" t="n">
        <v>10.6</v>
      </c>
      <c r="H109" s="3" t="n">
        <v>30</v>
      </c>
      <c r="I109" s="3" t="n">
        <v>4</v>
      </c>
      <c r="J109" s="5" t="n">
        <f aca="false">H109-I109</f>
        <v>26</v>
      </c>
      <c r="K109" s="5" t="n">
        <f aca="false">ROUND(G109*J109,0)</f>
        <v>276</v>
      </c>
      <c r="L109" s="6" t="n">
        <f aca="false">ROUND(I109*G109*F109,2)</f>
        <v>1060</v>
      </c>
      <c r="M109" s="3" t="n">
        <v>17.8</v>
      </c>
      <c r="N109" s="5" t="n">
        <f aca="false">IFERROR(ROUND(K109/M109,2),0)</f>
        <v>15.51</v>
      </c>
      <c r="O109" s="3" t="s">
        <v>20</v>
      </c>
    </row>
    <row r="110" customFormat="false" ht="15" hidden="false" customHeight="false" outlineLevel="0" collapsed="false">
      <c r="A110" s="3" t="s">
        <v>15</v>
      </c>
      <c r="B110" s="3" t="s">
        <v>27</v>
      </c>
      <c r="C110" s="3" t="s">
        <v>37</v>
      </c>
      <c r="D110" s="3" t="s">
        <v>38</v>
      </c>
      <c r="E110" s="3" t="s">
        <v>39</v>
      </c>
      <c r="F110" s="4" t="n">
        <v>25</v>
      </c>
      <c r="G110" s="3" t="n">
        <v>12.3</v>
      </c>
      <c r="H110" s="3" t="n">
        <v>31</v>
      </c>
      <c r="I110" s="3" t="n">
        <v>6</v>
      </c>
      <c r="J110" s="5" t="n">
        <f aca="false">H110-I110</f>
        <v>25</v>
      </c>
      <c r="K110" s="5" t="n">
        <f aca="false">ROUND(G110*J110,0)</f>
        <v>308</v>
      </c>
      <c r="L110" s="6" t="n">
        <f aca="false">ROUND(I110*G110*F110,2)</f>
        <v>1845</v>
      </c>
      <c r="M110" s="3" t="n">
        <v>28.6</v>
      </c>
      <c r="N110" s="5" t="n">
        <f aca="false">IFERROR(ROUND(K110/M110,2),0)</f>
        <v>10.77</v>
      </c>
      <c r="O110" s="3" t="s">
        <v>20</v>
      </c>
    </row>
    <row r="111" customFormat="false" ht="15" hidden="false" customHeight="false" outlineLevel="0" collapsed="false">
      <c r="A111" s="3" t="s">
        <v>21</v>
      </c>
      <c r="B111" s="3" t="s">
        <v>27</v>
      </c>
      <c r="C111" s="3" t="s">
        <v>37</v>
      </c>
      <c r="D111" s="3" t="s">
        <v>38</v>
      </c>
      <c r="E111" s="3" t="s">
        <v>39</v>
      </c>
      <c r="F111" s="4" t="n">
        <v>25</v>
      </c>
      <c r="G111" s="3" t="n">
        <v>11.7</v>
      </c>
      <c r="H111" s="3" t="n">
        <v>28</v>
      </c>
      <c r="I111" s="3" t="n">
        <v>12</v>
      </c>
      <c r="J111" s="5" t="n">
        <f aca="false">H111-I111</f>
        <v>16</v>
      </c>
      <c r="K111" s="5" t="n">
        <f aca="false">ROUND(G111*J111,0)</f>
        <v>187</v>
      </c>
      <c r="L111" s="6" t="n">
        <f aca="false">ROUND(I111*G111*F111,2)</f>
        <v>3510</v>
      </c>
      <c r="M111" s="3" t="n">
        <v>18.7</v>
      </c>
      <c r="N111" s="5" t="n">
        <f aca="false">IFERROR(ROUND(K111/M111,2),0)</f>
        <v>10</v>
      </c>
      <c r="O111" s="3" t="s">
        <v>20</v>
      </c>
    </row>
    <row r="112" customFormat="false" ht="15" hidden="false" customHeight="false" outlineLevel="0" collapsed="false">
      <c r="A112" s="3" t="s">
        <v>22</v>
      </c>
      <c r="B112" s="3" t="s">
        <v>27</v>
      </c>
      <c r="C112" s="3" t="s">
        <v>37</v>
      </c>
      <c r="D112" s="3" t="s">
        <v>38</v>
      </c>
      <c r="E112" s="3" t="s">
        <v>39</v>
      </c>
      <c r="F112" s="4" t="n">
        <v>25</v>
      </c>
      <c r="G112" s="3" t="n">
        <v>7.9</v>
      </c>
      <c r="H112" s="3" t="n">
        <v>31</v>
      </c>
      <c r="I112" s="3" t="n">
        <v>8</v>
      </c>
      <c r="J112" s="5" t="n">
        <f aca="false">H112-I112</f>
        <v>23</v>
      </c>
      <c r="K112" s="5" t="n">
        <f aca="false">ROUND(G112*J112,0)</f>
        <v>182</v>
      </c>
      <c r="L112" s="6" t="n">
        <f aca="false">ROUND(I112*G112*F112,2)</f>
        <v>1580</v>
      </c>
      <c r="M112" s="3" t="n">
        <v>24.1</v>
      </c>
      <c r="N112" s="5" t="n">
        <f aca="false">IFERROR(ROUND(K112/M112,2),0)</f>
        <v>7.55</v>
      </c>
      <c r="O112" s="3" t="s">
        <v>20</v>
      </c>
    </row>
    <row r="113" customFormat="false" ht="15" hidden="false" customHeight="false" outlineLevel="0" collapsed="false">
      <c r="A113" s="3" t="s">
        <v>23</v>
      </c>
      <c r="B113" s="3" t="s">
        <v>27</v>
      </c>
      <c r="C113" s="3" t="s">
        <v>37</v>
      </c>
      <c r="D113" s="3" t="s">
        <v>38</v>
      </c>
      <c r="E113" s="3" t="s">
        <v>39</v>
      </c>
      <c r="F113" s="4" t="n">
        <v>25</v>
      </c>
      <c r="G113" s="3" t="n">
        <v>12.2</v>
      </c>
      <c r="H113" s="3" t="n">
        <v>30</v>
      </c>
      <c r="I113" s="3" t="n">
        <v>4</v>
      </c>
      <c r="J113" s="5" t="n">
        <f aca="false">H113-I113</f>
        <v>26</v>
      </c>
      <c r="K113" s="5" t="n">
        <f aca="false">ROUND(G113*J113,0)</f>
        <v>317</v>
      </c>
      <c r="L113" s="6" t="n">
        <f aca="false">ROUND(I113*G113*F113,2)</f>
        <v>1220</v>
      </c>
      <c r="M113" s="3" t="n">
        <v>37.5</v>
      </c>
      <c r="N113" s="5" t="n">
        <f aca="false">IFERROR(ROUND(K113/M113,2),0)</f>
        <v>8.45</v>
      </c>
      <c r="O113" s="3" t="s">
        <v>20</v>
      </c>
    </row>
    <row r="114" customFormat="false" ht="15" hidden="false" customHeight="false" outlineLevel="0" collapsed="false">
      <c r="A114" s="3" t="s">
        <v>24</v>
      </c>
      <c r="B114" s="3" t="s">
        <v>27</v>
      </c>
      <c r="C114" s="3" t="s">
        <v>37</v>
      </c>
      <c r="D114" s="3" t="s">
        <v>38</v>
      </c>
      <c r="E114" s="3" t="s">
        <v>39</v>
      </c>
      <c r="F114" s="4" t="n">
        <v>25</v>
      </c>
      <c r="G114" s="3" t="n">
        <v>8.3</v>
      </c>
      <c r="H114" s="3" t="n">
        <v>31</v>
      </c>
      <c r="I114" s="3" t="n">
        <v>7</v>
      </c>
      <c r="J114" s="5" t="n">
        <f aca="false">H114-I114</f>
        <v>24</v>
      </c>
      <c r="K114" s="5" t="n">
        <f aca="false">ROUND(G114*J114,0)</f>
        <v>199</v>
      </c>
      <c r="L114" s="6" t="n">
        <f aca="false">ROUND(I114*G114*F114,2)</f>
        <v>1452.5</v>
      </c>
      <c r="M114" s="3" t="n">
        <v>31.7</v>
      </c>
      <c r="N114" s="5" t="n">
        <f aca="false">IFERROR(ROUND(K114/M114,2),0)</f>
        <v>6.28</v>
      </c>
      <c r="O114" s="3" t="s">
        <v>20</v>
      </c>
    </row>
    <row r="115" customFormat="false" ht="15" hidden="false" customHeight="false" outlineLevel="0" collapsed="false">
      <c r="A115" s="3" t="s">
        <v>25</v>
      </c>
      <c r="B115" s="3" t="s">
        <v>27</v>
      </c>
      <c r="C115" s="3" t="s">
        <v>37</v>
      </c>
      <c r="D115" s="3" t="s">
        <v>38</v>
      </c>
      <c r="E115" s="3" t="s">
        <v>39</v>
      </c>
      <c r="F115" s="4" t="n">
        <v>25</v>
      </c>
      <c r="G115" s="3" t="n">
        <v>9.1</v>
      </c>
      <c r="H115" s="3" t="n">
        <v>30</v>
      </c>
      <c r="I115" s="3" t="n">
        <v>12</v>
      </c>
      <c r="J115" s="5" t="n">
        <f aca="false">H115-I115</f>
        <v>18</v>
      </c>
      <c r="K115" s="5" t="n">
        <f aca="false">ROUND(G115*J115,0)</f>
        <v>164</v>
      </c>
      <c r="L115" s="6" t="n">
        <f aca="false">ROUND(I115*G115*F115,2)</f>
        <v>2730</v>
      </c>
      <c r="M115" s="3" t="n">
        <v>37.1</v>
      </c>
      <c r="N115" s="5" t="n">
        <f aca="false">IFERROR(ROUND(K115/M115,2),0)</f>
        <v>4.42</v>
      </c>
      <c r="O115" s="3" t="s">
        <v>20</v>
      </c>
    </row>
    <row r="116" customFormat="false" ht="15" hidden="false" customHeight="false" outlineLevel="0" collapsed="false">
      <c r="A116" s="3" t="s">
        <v>15</v>
      </c>
      <c r="B116" s="3" t="s">
        <v>28</v>
      </c>
      <c r="C116" s="3" t="s">
        <v>37</v>
      </c>
      <c r="D116" s="3" t="s">
        <v>38</v>
      </c>
      <c r="E116" s="3" t="s">
        <v>39</v>
      </c>
      <c r="F116" s="4" t="n">
        <v>25</v>
      </c>
      <c r="G116" s="3" t="n">
        <v>8.4</v>
      </c>
      <c r="H116" s="3" t="n">
        <v>31</v>
      </c>
      <c r="I116" s="3" t="n">
        <v>6</v>
      </c>
      <c r="J116" s="5" t="n">
        <f aca="false">H116-I116</f>
        <v>25</v>
      </c>
      <c r="K116" s="5" t="n">
        <f aca="false">ROUND(G116*J116,0)</f>
        <v>210</v>
      </c>
      <c r="L116" s="6" t="n">
        <f aca="false">ROUND(I116*G116*F116,2)</f>
        <v>1260</v>
      </c>
      <c r="M116" s="3" t="n">
        <v>38.1</v>
      </c>
      <c r="N116" s="5" t="n">
        <f aca="false">IFERROR(ROUND(K116/M116,2),0)</f>
        <v>5.51</v>
      </c>
      <c r="O116" s="3" t="s">
        <v>20</v>
      </c>
    </row>
    <row r="117" customFormat="false" ht="15" hidden="false" customHeight="false" outlineLevel="0" collapsed="false">
      <c r="A117" s="3" t="s">
        <v>21</v>
      </c>
      <c r="B117" s="3" t="s">
        <v>28</v>
      </c>
      <c r="C117" s="3" t="s">
        <v>37</v>
      </c>
      <c r="D117" s="3" t="s">
        <v>38</v>
      </c>
      <c r="E117" s="3" t="s">
        <v>39</v>
      </c>
      <c r="F117" s="4" t="n">
        <v>25</v>
      </c>
      <c r="G117" s="3" t="n">
        <v>7.5</v>
      </c>
      <c r="H117" s="3" t="n">
        <v>28</v>
      </c>
      <c r="I117" s="3" t="n">
        <v>6</v>
      </c>
      <c r="J117" s="5" t="n">
        <f aca="false">H117-I117</f>
        <v>22</v>
      </c>
      <c r="K117" s="5" t="n">
        <f aca="false">ROUND(G117*J117,0)</f>
        <v>165</v>
      </c>
      <c r="L117" s="6" t="n">
        <f aca="false">ROUND(I117*G117*F117,2)</f>
        <v>1125</v>
      </c>
      <c r="M117" s="3" t="n">
        <v>39.4</v>
      </c>
      <c r="N117" s="5" t="n">
        <f aca="false">IFERROR(ROUND(K117/M117,2),0)</f>
        <v>4.19</v>
      </c>
      <c r="O117" s="3" t="s">
        <v>20</v>
      </c>
    </row>
    <row r="118" customFormat="false" ht="15" hidden="false" customHeight="false" outlineLevel="0" collapsed="false">
      <c r="A118" s="3" t="s">
        <v>22</v>
      </c>
      <c r="B118" s="3" t="s">
        <v>28</v>
      </c>
      <c r="C118" s="3" t="s">
        <v>37</v>
      </c>
      <c r="D118" s="3" t="s">
        <v>38</v>
      </c>
      <c r="E118" s="3" t="s">
        <v>39</v>
      </c>
      <c r="F118" s="4" t="n">
        <v>25</v>
      </c>
      <c r="G118" s="3" t="n">
        <v>10.3</v>
      </c>
      <c r="H118" s="3" t="n">
        <v>31</v>
      </c>
      <c r="I118" s="3" t="n">
        <v>10</v>
      </c>
      <c r="J118" s="5" t="n">
        <f aca="false">H118-I118</f>
        <v>21</v>
      </c>
      <c r="K118" s="5" t="n">
        <f aca="false">ROUND(G118*J118,0)</f>
        <v>216</v>
      </c>
      <c r="L118" s="6" t="n">
        <f aca="false">ROUND(I118*G118*F118,2)</f>
        <v>2575</v>
      </c>
      <c r="M118" s="3" t="n">
        <v>15.6</v>
      </c>
      <c r="N118" s="5" t="n">
        <f aca="false">IFERROR(ROUND(K118/M118,2),0)</f>
        <v>13.85</v>
      </c>
      <c r="O118" s="3" t="s">
        <v>20</v>
      </c>
    </row>
    <row r="119" customFormat="false" ht="15" hidden="false" customHeight="false" outlineLevel="0" collapsed="false">
      <c r="A119" s="3" t="s">
        <v>23</v>
      </c>
      <c r="B119" s="3" t="s">
        <v>28</v>
      </c>
      <c r="C119" s="3" t="s">
        <v>37</v>
      </c>
      <c r="D119" s="3" t="s">
        <v>38</v>
      </c>
      <c r="E119" s="3" t="s">
        <v>39</v>
      </c>
      <c r="F119" s="4" t="n">
        <v>25</v>
      </c>
      <c r="G119" s="3" t="n">
        <v>9.9</v>
      </c>
      <c r="H119" s="3" t="n">
        <v>30</v>
      </c>
      <c r="I119" s="3" t="n">
        <v>9</v>
      </c>
      <c r="J119" s="5" t="n">
        <f aca="false">H119-I119</f>
        <v>21</v>
      </c>
      <c r="K119" s="5" t="n">
        <f aca="false">ROUND(G119*J119,0)</f>
        <v>208</v>
      </c>
      <c r="L119" s="6" t="n">
        <f aca="false">ROUND(I119*G119*F119,2)</f>
        <v>2227.5</v>
      </c>
      <c r="M119" s="3" t="n">
        <v>34.6</v>
      </c>
      <c r="N119" s="5" t="n">
        <f aca="false">IFERROR(ROUND(K119/M119,2),0)</f>
        <v>6.01</v>
      </c>
      <c r="O119" s="3" t="s">
        <v>20</v>
      </c>
    </row>
    <row r="120" customFormat="false" ht="15" hidden="false" customHeight="false" outlineLevel="0" collapsed="false">
      <c r="A120" s="3" t="s">
        <v>24</v>
      </c>
      <c r="B120" s="3" t="s">
        <v>28</v>
      </c>
      <c r="C120" s="3" t="s">
        <v>37</v>
      </c>
      <c r="D120" s="3" t="s">
        <v>38</v>
      </c>
      <c r="E120" s="3" t="s">
        <v>39</v>
      </c>
      <c r="F120" s="4" t="n">
        <v>25</v>
      </c>
      <c r="G120" s="3" t="n">
        <v>8.4</v>
      </c>
      <c r="H120" s="3" t="n">
        <v>31</v>
      </c>
      <c r="I120" s="3" t="n">
        <v>7</v>
      </c>
      <c r="J120" s="5" t="n">
        <f aca="false">H120-I120</f>
        <v>24</v>
      </c>
      <c r="K120" s="5" t="n">
        <f aca="false">ROUND(G120*J120,0)</f>
        <v>202</v>
      </c>
      <c r="L120" s="6" t="n">
        <f aca="false">ROUND(I120*G120*F120,2)</f>
        <v>1470</v>
      </c>
      <c r="M120" s="3" t="n">
        <v>21.7</v>
      </c>
      <c r="N120" s="5" t="n">
        <f aca="false">IFERROR(ROUND(K120/M120,2),0)</f>
        <v>9.31</v>
      </c>
      <c r="O120" s="3" t="s">
        <v>20</v>
      </c>
    </row>
    <row r="121" customFormat="false" ht="15" hidden="false" customHeight="false" outlineLevel="0" collapsed="false">
      <c r="A121" s="3" t="s">
        <v>25</v>
      </c>
      <c r="B121" s="3" t="s">
        <v>28</v>
      </c>
      <c r="C121" s="3" t="s">
        <v>37</v>
      </c>
      <c r="D121" s="3" t="s">
        <v>38</v>
      </c>
      <c r="E121" s="3" t="s">
        <v>39</v>
      </c>
      <c r="F121" s="4" t="n">
        <v>25</v>
      </c>
      <c r="G121" s="3" t="n">
        <v>10.2</v>
      </c>
      <c r="H121" s="3" t="n">
        <v>30</v>
      </c>
      <c r="I121" s="3" t="n">
        <v>5</v>
      </c>
      <c r="J121" s="5" t="n">
        <f aca="false">H121-I121</f>
        <v>25</v>
      </c>
      <c r="K121" s="5" t="n">
        <f aca="false">ROUND(G121*J121,0)</f>
        <v>255</v>
      </c>
      <c r="L121" s="6" t="n">
        <f aca="false">ROUND(I121*G121*F121,2)</f>
        <v>1275</v>
      </c>
      <c r="M121" s="3" t="n">
        <v>24.6</v>
      </c>
      <c r="N121" s="5" t="n">
        <f aca="false">IFERROR(ROUND(K121/M121,2),0)</f>
        <v>10.37</v>
      </c>
      <c r="O121" s="3" t="s">
        <v>20</v>
      </c>
    </row>
    <row r="122" customFormat="false" ht="15" hidden="false" customHeight="false" outlineLevel="0" collapsed="false">
      <c r="A122" s="3" t="s">
        <v>15</v>
      </c>
      <c r="B122" s="3" t="s">
        <v>16</v>
      </c>
      <c r="C122" s="3" t="s">
        <v>40</v>
      </c>
      <c r="D122" s="3" t="s">
        <v>41</v>
      </c>
      <c r="E122" s="3" t="s">
        <v>39</v>
      </c>
      <c r="F122" s="4" t="n">
        <v>20</v>
      </c>
      <c r="G122" s="3" t="n">
        <v>2.5</v>
      </c>
      <c r="H122" s="3" t="n">
        <v>31</v>
      </c>
      <c r="I122" s="3" t="n">
        <v>1</v>
      </c>
      <c r="J122" s="5" t="n">
        <f aca="false">H122-I122</f>
        <v>30</v>
      </c>
      <c r="K122" s="5" t="n">
        <f aca="false">ROUND(G122*J122,0)</f>
        <v>75</v>
      </c>
      <c r="L122" s="6" t="n">
        <f aca="false">ROUND(I122*G122*F122,2)</f>
        <v>50</v>
      </c>
      <c r="M122" s="3" t="n">
        <v>77.8</v>
      </c>
      <c r="N122" s="5" t="n">
        <f aca="false">IFERROR(ROUND(K122/M122,2),0)</f>
        <v>0.96</v>
      </c>
      <c r="O122" s="3" t="s">
        <v>31</v>
      </c>
    </row>
    <row r="123" customFormat="false" ht="15" hidden="false" customHeight="false" outlineLevel="0" collapsed="false">
      <c r="A123" s="3" t="s">
        <v>21</v>
      </c>
      <c r="B123" s="3" t="s">
        <v>16</v>
      </c>
      <c r="C123" s="3" t="s">
        <v>40</v>
      </c>
      <c r="D123" s="3" t="s">
        <v>41</v>
      </c>
      <c r="E123" s="3" t="s">
        <v>39</v>
      </c>
      <c r="F123" s="4" t="n">
        <v>20</v>
      </c>
      <c r="G123" s="3" t="n">
        <v>5.3</v>
      </c>
      <c r="H123" s="3" t="n">
        <v>28</v>
      </c>
      <c r="I123" s="3" t="n">
        <v>1</v>
      </c>
      <c r="J123" s="5" t="n">
        <f aca="false">H123-I123</f>
        <v>27</v>
      </c>
      <c r="K123" s="5" t="n">
        <f aca="false">ROUND(G123*J123,0)</f>
        <v>143</v>
      </c>
      <c r="L123" s="6" t="n">
        <f aca="false">ROUND(I123*G123*F123,2)</f>
        <v>106</v>
      </c>
      <c r="M123" s="3" t="n">
        <v>88</v>
      </c>
      <c r="N123" s="5" t="n">
        <f aca="false">IFERROR(ROUND(K123/M123,2),0)</f>
        <v>1.63</v>
      </c>
      <c r="O123" s="3" t="s">
        <v>31</v>
      </c>
    </row>
    <row r="124" customFormat="false" ht="15" hidden="false" customHeight="false" outlineLevel="0" collapsed="false">
      <c r="A124" s="3" t="s">
        <v>22</v>
      </c>
      <c r="B124" s="3" t="s">
        <v>16</v>
      </c>
      <c r="C124" s="3" t="s">
        <v>40</v>
      </c>
      <c r="D124" s="3" t="s">
        <v>41</v>
      </c>
      <c r="E124" s="3" t="s">
        <v>39</v>
      </c>
      <c r="F124" s="4" t="n">
        <v>20</v>
      </c>
      <c r="G124" s="3" t="n">
        <v>5.4</v>
      </c>
      <c r="H124" s="3" t="n">
        <v>31</v>
      </c>
      <c r="I124" s="3" t="n">
        <v>0</v>
      </c>
      <c r="J124" s="5" t="n">
        <f aca="false">H124-I124</f>
        <v>31</v>
      </c>
      <c r="K124" s="5" t="n">
        <f aca="false">ROUND(G124*J124,0)</f>
        <v>167</v>
      </c>
      <c r="L124" s="6" t="n">
        <f aca="false">ROUND(I124*G124*F124,2)</f>
        <v>0</v>
      </c>
      <c r="M124" s="3" t="n">
        <v>77.8</v>
      </c>
      <c r="N124" s="5" t="n">
        <f aca="false">IFERROR(ROUND(K124/M124,2),0)</f>
        <v>2.15</v>
      </c>
      <c r="O124" s="3" t="s">
        <v>31</v>
      </c>
    </row>
    <row r="125" customFormat="false" ht="15" hidden="false" customHeight="false" outlineLevel="0" collapsed="false">
      <c r="A125" s="3" t="s">
        <v>23</v>
      </c>
      <c r="B125" s="3" t="s">
        <v>16</v>
      </c>
      <c r="C125" s="3" t="s">
        <v>40</v>
      </c>
      <c r="D125" s="3" t="s">
        <v>41</v>
      </c>
      <c r="E125" s="3" t="s">
        <v>39</v>
      </c>
      <c r="F125" s="4" t="n">
        <v>20</v>
      </c>
      <c r="G125" s="3" t="n">
        <v>4.8</v>
      </c>
      <c r="H125" s="3" t="n">
        <v>30</v>
      </c>
      <c r="I125" s="3" t="n">
        <v>1</v>
      </c>
      <c r="J125" s="5" t="n">
        <f aca="false">H125-I125</f>
        <v>29</v>
      </c>
      <c r="K125" s="5" t="n">
        <f aca="false">ROUND(G125*J125,0)</f>
        <v>139</v>
      </c>
      <c r="L125" s="6" t="n">
        <f aca="false">ROUND(I125*G125*F125,2)</f>
        <v>96</v>
      </c>
      <c r="M125" s="3" t="n">
        <v>86.3</v>
      </c>
      <c r="N125" s="5" t="n">
        <f aca="false">IFERROR(ROUND(K125/M125,2),0)</f>
        <v>1.61</v>
      </c>
      <c r="O125" s="3" t="s">
        <v>31</v>
      </c>
    </row>
    <row r="126" customFormat="false" ht="15" hidden="false" customHeight="false" outlineLevel="0" collapsed="false">
      <c r="A126" s="3" t="s">
        <v>24</v>
      </c>
      <c r="B126" s="3" t="s">
        <v>16</v>
      </c>
      <c r="C126" s="3" t="s">
        <v>40</v>
      </c>
      <c r="D126" s="3" t="s">
        <v>41</v>
      </c>
      <c r="E126" s="3" t="s">
        <v>39</v>
      </c>
      <c r="F126" s="4" t="n">
        <v>20</v>
      </c>
      <c r="G126" s="3" t="n">
        <v>5.5</v>
      </c>
      <c r="H126" s="3" t="n">
        <v>31</v>
      </c>
      <c r="I126" s="3" t="n">
        <v>1</v>
      </c>
      <c r="J126" s="5" t="n">
        <f aca="false">H126-I126</f>
        <v>30</v>
      </c>
      <c r="K126" s="5" t="n">
        <f aca="false">ROUND(G126*J126,0)</f>
        <v>165</v>
      </c>
      <c r="L126" s="6" t="n">
        <f aca="false">ROUND(I126*G126*F126,2)</f>
        <v>110</v>
      </c>
      <c r="M126" s="3" t="n">
        <v>88.1</v>
      </c>
      <c r="N126" s="5" t="n">
        <f aca="false">IFERROR(ROUND(K126/M126,2),0)</f>
        <v>1.87</v>
      </c>
      <c r="O126" s="3" t="s">
        <v>31</v>
      </c>
    </row>
    <row r="127" customFormat="false" ht="15" hidden="false" customHeight="false" outlineLevel="0" collapsed="false">
      <c r="A127" s="3" t="s">
        <v>25</v>
      </c>
      <c r="B127" s="3" t="s">
        <v>16</v>
      </c>
      <c r="C127" s="3" t="s">
        <v>40</v>
      </c>
      <c r="D127" s="3" t="s">
        <v>41</v>
      </c>
      <c r="E127" s="3" t="s">
        <v>39</v>
      </c>
      <c r="F127" s="4" t="n">
        <v>20</v>
      </c>
      <c r="G127" s="3" t="n">
        <v>4.2</v>
      </c>
      <c r="H127" s="3" t="n">
        <v>30</v>
      </c>
      <c r="I127" s="3" t="n">
        <v>2</v>
      </c>
      <c r="J127" s="5" t="n">
        <f aca="false">H127-I127</f>
        <v>28</v>
      </c>
      <c r="K127" s="5" t="n">
        <f aca="false">ROUND(G127*J127,0)</f>
        <v>118</v>
      </c>
      <c r="L127" s="6" t="n">
        <f aca="false">ROUND(I127*G127*F127,2)</f>
        <v>168</v>
      </c>
      <c r="M127" s="3" t="n">
        <v>138.5</v>
      </c>
      <c r="N127" s="5" t="n">
        <f aca="false">IFERROR(ROUND(K127/M127,2),0)</f>
        <v>0.85</v>
      </c>
      <c r="O127" s="3" t="s">
        <v>31</v>
      </c>
    </row>
    <row r="128" customFormat="false" ht="15" hidden="false" customHeight="false" outlineLevel="0" collapsed="false">
      <c r="A128" s="3" t="s">
        <v>15</v>
      </c>
      <c r="B128" s="3" t="s">
        <v>26</v>
      </c>
      <c r="C128" s="3" t="s">
        <v>40</v>
      </c>
      <c r="D128" s="3" t="s">
        <v>41</v>
      </c>
      <c r="E128" s="3" t="s">
        <v>39</v>
      </c>
      <c r="F128" s="4" t="n">
        <v>20</v>
      </c>
      <c r="G128" s="3" t="n">
        <v>3.6</v>
      </c>
      <c r="H128" s="3" t="n">
        <v>31</v>
      </c>
      <c r="I128" s="3" t="n">
        <v>0</v>
      </c>
      <c r="J128" s="5" t="n">
        <f aca="false">H128-I128</f>
        <v>31</v>
      </c>
      <c r="K128" s="5" t="n">
        <f aca="false">ROUND(G128*J128,0)</f>
        <v>112</v>
      </c>
      <c r="L128" s="6" t="n">
        <f aca="false">ROUND(I128*G128*F128,2)</f>
        <v>0</v>
      </c>
      <c r="M128" s="3" t="n">
        <v>69.2</v>
      </c>
      <c r="N128" s="5" t="n">
        <f aca="false">IFERROR(ROUND(K128/M128,2),0)</f>
        <v>1.62</v>
      </c>
      <c r="O128" s="3" t="s">
        <v>31</v>
      </c>
    </row>
    <row r="129" customFormat="false" ht="15" hidden="false" customHeight="false" outlineLevel="0" collapsed="false">
      <c r="A129" s="3" t="s">
        <v>21</v>
      </c>
      <c r="B129" s="3" t="s">
        <v>26</v>
      </c>
      <c r="C129" s="3" t="s">
        <v>40</v>
      </c>
      <c r="D129" s="3" t="s">
        <v>41</v>
      </c>
      <c r="E129" s="3" t="s">
        <v>39</v>
      </c>
      <c r="F129" s="4" t="n">
        <v>20</v>
      </c>
      <c r="G129" s="3" t="n">
        <v>4.9</v>
      </c>
      <c r="H129" s="3" t="n">
        <v>28</v>
      </c>
      <c r="I129" s="3" t="n">
        <v>0</v>
      </c>
      <c r="J129" s="5" t="n">
        <f aca="false">H129-I129</f>
        <v>28</v>
      </c>
      <c r="K129" s="5" t="n">
        <f aca="false">ROUND(G129*J129,0)</f>
        <v>137</v>
      </c>
      <c r="L129" s="6" t="n">
        <f aca="false">ROUND(I129*G129*F129,2)</f>
        <v>0</v>
      </c>
      <c r="M129" s="3" t="n">
        <v>106.4</v>
      </c>
      <c r="N129" s="5" t="n">
        <f aca="false">IFERROR(ROUND(K129/M129,2),0)</f>
        <v>1.29</v>
      </c>
      <c r="O129" s="3" t="s">
        <v>31</v>
      </c>
    </row>
    <row r="130" customFormat="false" ht="15" hidden="false" customHeight="false" outlineLevel="0" collapsed="false">
      <c r="A130" s="3" t="s">
        <v>22</v>
      </c>
      <c r="B130" s="3" t="s">
        <v>26</v>
      </c>
      <c r="C130" s="3" t="s">
        <v>40</v>
      </c>
      <c r="D130" s="3" t="s">
        <v>41</v>
      </c>
      <c r="E130" s="3" t="s">
        <v>39</v>
      </c>
      <c r="F130" s="4" t="n">
        <v>20</v>
      </c>
      <c r="G130" s="3" t="n">
        <v>5</v>
      </c>
      <c r="H130" s="3" t="n">
        <v>31</v>
      </c>
      <c r="I130" s="3" t="n">
        <v>0</v>
      </c>
      <c r="J130" s="5" t="n">
        <f aca="false">H130-I130</f>
        <v>31</v>
      </c>
      <c r="K130" s="5" t="n">
        <f aca="false">ROUND(G130*J130,0)</f>
        <v>155</v>
      </c>
      <c r="L130" s="6" t="n">
        <f aca="false">ROUND(I130*G130*F130,2)</f>
        <v>0</v>
      </c>
      <c r="M130" s="3" t="n">
        <v>68.7</v>
      </c>
      <c r="N130" s="5" t="n">
        <f aca="false">IFERROR(ROUND(K130/M130,2),0)</f>
        <v>2.26</v>
      </c>
      <c r="O130" s="3" t="s">
        <v>31</v>
      </c>
    </row>
    <row r="131" customFormat="false" ht="15" hidden="false" customHeight="false" outlineLevel="0" collapsed="false">
      <c r="A131" s="3" t="s">
        <v>23</v>
      </c>
      <c r="B131" s="3" t="s">
        <v>26</v>
      </c>
      <c r="C131" s="3" t="s">
        <v>40</v>
      </c>
      <c r="D131" s="3" t="s">
        <v>41</v>
      </c>
      <c r="E131" s="3" t="s">
        <v>39</v>
      </c>
      <c r="F131" s="4" t="n">
        <v>20</v>
      </c>
      <c r="G131" s="3" t="n">
        <v>3.3</v>
      </c>
      <c r="H131" s="3" t="n">
        <v>30</v>
      </c>
      <c r="I131" s="3" t="n">
        <v>2</v>
      </c>
      <c r="J131" s="5" t="n">
        <f aca="false">H131-I131</f>
        <v>28</v>
      </c>
      <c r="K131" s="5" t="n">
        <f aca="false">ROUND(G131*J131,0)</f>
        <v>92</v>
      </c>
      <c r="L131" s="6" t="n">
        <f aca="false">ROUND(I131*G131*F131,2)</f>
        <v>132</v>
      </c>
      <c r="M131" s="3" t="n">
        <v>122.9</v>
      </c>
      <c r="N131" s="5" t="n">
        <f aca="false">IFERROR(ROUND(K131/M131,2),0)</f>
        <v>0.75</v>
      </c>
      <c r="O131" s="3" t="s">
        <v>31</v>
      </c>
    </row>
    <row r="132" customFormat="false" ht="15" hidden="false" customHeight="false" outlineLevel="0" collapsed="false">
      <c r="A132" s="3" t="s">
        <v>24</v>
      </c>
      <c r="B132" s="3" t="s">
        <v>26</v>
      </c>
      <c r="C132" s="3" t="s">
        <v>40</v>
      </c>
      <c r="D132" s="3" t="s">
        <v>41</v>
      </c>
      <c r="E132" s="3" t="s">
        <v>39</v>
      </c>
      <c r="F132" s="4" t="n">
        <v>20</v>
      </c>
      <c r="G132" s="3" t="n">
        <v>3.3</v>
      </c>
      <c r="H132" s="3" t="n">
        <v>31</v>
      </c>
      <c r="I132" s="3" t="n">
        <v>2</v>
      </c>
      <c r="J132" s="5" t="n">
        <f aca="false">H132-I132</f>
        <v>29</v>
      </c>
      <c r="K132" s="5" t="n">
        <f aca="false">ROUND(G132*J132,0)</f>
        <v>96</v>
      </c>
      <c r="L132" s="6" t="n">
        <f aca="false">ROUND(I132*G132*F132,2)</f>
        <v>132</v>
      </c>
      <c r="M132" s="3" t="n">
        <v>69.3</v>
      </c>
      <c r="N132" s="5" t="n">
        <f aca="false">IFERROR(ROUND(K132/M132,2),0)</f>
        <v>1.39</v>
      </c>
      <c r="O132" s="3" t="s">
        <v>31</v>
      </c>
    </row>
    <row r="133" customFormat="false" ht="15" hidden="false" customHeight="false" outlineLevel="0" collapsed="false">
      <c r="A133" s="3" t="s">
        <v>25</v>
      </c>
      <c r="B133" s="3" t="s">
        <v>26</v>
      </c>
      <c r="C133" s="3" t="s">
        <v>40</v>
      </c>
      <c r="D133" s="3" t="s">
        <v>41</v>
      </c>
      <c r="E133" s="3" t="s">
        <v>39</v>
      </c>
      <c r="F133" s="4" t="n">
        <v>20</v>
      </c>
      <c r="G133" s="3" t="n">
        <v>4.7</v>
      </c>
      <c r="H133" s="3" t="n">
        <v>30</v>
      </c>
      <c r="I133" s="3" t="n">
        <v>0</v>
      </c>
      <c r="J133" s="5" t="n">
        <f aca="false">H133-I133</f>
        <v>30</v>
      </c>
      <c r="K133" s="5" t="n">
        <f aca="false">ROUND(G133*J133,0)</f>
        <v>141</v>
      </c>
      <c r="L133" s="6" t="n">
        <f aca="false">ROUND(I133*G133*F133,2)</f>
        <v>0</v>
      </c>
      <c r="M133" s="3" t="n">
        <v>80.4</v>
      </c>
      <c r="N133" s="5" t="n">
        <f aca="false">IFERROR(ROUND(K133/M133,2),0)</f>
        <v>1.75</v>
      </c>
      <c r="O133" s="3" t="s">
        <v>31</v>
      </c>
    </row>
    <row r="134" customFormat="false" ht="15" hidden="false" customHeight="false" outlineLevel="0" collapsed="false">
      <c r="A134" s="3" t="s">
        <v>15</v>
      </c>
      <c r="B134" s="3" t="s">
        <v>27</v>
      </c>
      <c r="C134" s="3" t="s">
        <v>40</v>
      </c>
      <c r="D134" s="3" t="s">
        <v>41</v>
      </c>
      <c r="E134" s="3" t="s">
        <v>39</v>
      </c>
      <c r="F134" s="4" t="n">
        <v>20</v>
      </c>
      <c r="G134" s="3" t="n">
        <v>3.7</v>
      </c>
      <c r="H134" s="3" t="n">
        <v>31</v>
      </c>
      <c r="I134" s="3" t="n">
        <v>0</v>
      </c>
      <c r="J134" s="5" t="n">
        <f aca="false">H134-I134</f>
        <v>31</v>
      </c>
      <c r="K134" s="5" t="n">
        <f aca="false">ROUND(G134*J134,0)</f>
        <v>115</v>
      </c>
      <c r="L134" s="6" t="n">
        <f aca="false">ROUND(I134*G134*F134,2)</f>
        <v>0</v>
      </c>
      <c r="M134" s="3" t="n">
        <v>101.6</v>
      </c>
      <c r="N134" s="5" t="n">
        <f aca="false">IFERROR(ROUND(K134/M134,2),0)</f>
        <v>1.13</v>
      </c>
      <c r="O134" s="3" t="s">
        <v>31</v>
      </c>
    </row>
    <row r="135" customFormat="false" ht="15" hidden="false" customHeight="false" outlineLevel="0" collapsed="false">
      <c r="A135" s="3" t="s">
        <v>21</v>
      </c>
      <c r="B135" s="3" t="s">
        <v>27</v>
      </c>
      <c r="C135" s="3" t="s">
        <v>40</v>
      </c>
      <c r="D135" s="3" t="s">
        <v>41</v>
      </c>
      <c r="E135" s="3" t="s">
        <v>39</v>
      </c>
      <c r="F135" s="4" t="n">
        <v>20</v>
      </c>
      <c r="G135" s="3" t="n">
        <v>4</v>
      </c>
      <c r="H135" s="3" t="n">
        <v>28</v>
      </c>
      <c r="I135" s="3" t="n">
        <v>2</v>
      </c>
      <c r="J135" s="5" t="n">
        <f aca="false">H135-I135</f>
        <v>26</v>
      </c>
      <c r="K135" s="5" t="n">
        <f aca="false">ROUND(G135*J135,0)</f>
        <v>104</v>
      </c>
      <c r="L135" s="6" t="n">
        <f aca="false">ROUND(I135*G135*F135,2)</f>
        <v>160</v>
      </c>
      <c r="M135" s="3" t="n">
        <v>117.6</v>
      </c>
      <c r="N135" s="5" t="n">
        <f aca="false">IFERROR(ROUND(K135/M135,2),0)</f>
        <v>0.88</v>
      </c>
      <c r="O135" s="3" t="s">
        <v>31</v>
      </c>
    </row>
    <row r="136" customFormat="false" ht="15" hidden="false" customHeight="false" outlineLevel="0" collapsed="false">
      <c r="A136" s="3" t="s">
        <v>22</v>
      </c>
      <c r="B136" s="3" t="s">
        <v>27</v>
      </c>
      <c r="C136" s="3" t="s">
        <v>40</v>
      </c>
      <c r="D136" s="3" t="s">
        <v>41</v>
      </c>
      <c r="E136" s="3" t="s">
        <v>39</v>
      </c>
      <c r="F136" s="4" t="n">
        <v>20</v>
      </c>
      <c r="G136" s="3" t="n">
        <v>3.8</v>
      </c>
      <c r="H136" s="3" t="n">
        <v>31</v>
      </c>
      <c r="I136" s="3" t="n">
        <v>2</v>
      </c>
      <c r="J136" s="5" t="n">
        <f aca="false">H136-I136</f>
        <v>29</v>
      </c>
      <c r="K136" s="5" t="n">
        <f aca="false">ROUND(G136*J136,0)</f>
        <v>110</v>
      </c>
      <c r="L136" s="6" t="n">
        <f aca="false">ROUND(I136*G136*F136,2)</f>
        <v>152</v>
      </c>
      <c r="M136" s="3" t="n">
        <v>75.8</v>
      </c>
      <c r="N136" s="5" t="n">
        <f aca="false">IFERROR(ROUND(K136/M136,2),0)</f>
        <v>1.45</v>
      </c>
      <c r="O136" s="3" t="s">
        <v>31</v>
      </c>
    </row>
    <row r="137" customFormat="false" ht="15" hidden="false" customHeight="false" outlineLevel="0" collapsed="false">
      <c r="A137" s="3" t="s">
        <v>23</v>
      </c>
      <c r="B137" s="3" t="s">
        <v>27</v>
      </c>
      <c r="C137" s="3" t="s">
        <v>40</v>
      </c>
      <c r="D137" s="3" t="s">
        <v>41</v>
      </c>
      <c r="E137" s="3" t="s">
        <v>39</v>
      </c>
      <c r="F137" s="4" t="n">
        <v>20</v>
      </c>
      <c r="G137" s="3" t="n">
        <v>3</v>
      </c>
      <c r="H137" s="3" t="n">
        <v>30</v>
      </c>
      <c r="I137" s="3" t="n">
        <v>2</v>
      </c>
      <c r="J137" s="5" t="n">
        <f aca="false">H137-I137</f>
        <v>28</v>
      </c>
      <c r="K137" s="5" t="n">
        <f aca="false">ROUND(G137*J137,0)</f>
        <v>84</v>
      </c>
      <c r="L137" s="6" t="n">
        <f aca="false">ROUND(I137*G137*F137,2)</f>
        <v>120</v>
      </c>
      <c r="M137" s="3" t="n">
        <v>133.7</v>
      </c>
      <c r="N137" s="5" t="n">
        <f aca="false">IFERROR(ROUND(K137/M137,2),0)</f>
        <v>0.63</v>
      </c>
      <c r="O137" s="3" t="s">
        <v>31</v>
      </c>
    </row>
    <row r="138" customFormat="false" ht="15" hidden="false" customHeight="false" outlineLevel="0" collapsed="false">
      <c r="A138" s="3" t="s">
        <v>24</v>
      </c>
      <c r="B138" s="3" t="s">
        <v>27</v>
      </c>
      <c r="C138" s="3" t="s">
        <v>40</v>
      </c>
      <c r="D138" s="3" t="s">
        <v>41</v>
      </c>
      <c r="E138" s="3" t="s">
        <v>39</v>
      </c>
      <c r="F138" s="4" t="n">
        <v>20</v>
      </c>
      <c r="G138" s="3" t="n">
        <v>3.5</v>
      </c>
      <c r="H138" s="3" t="n">
        <v>31</v>
      </c>
      <c r="I138" s="3" t="n">
        <v>2</v>
      </c>
      <c r="J138" s="5" t="n">
        <f aca="false">H138-I138</f>
        <v>29</v>
      </c>
      <c r="K138" s="5" t="n">
        <f aca="false">ROUND(G138*J138,0)</f>
        <v>102</v>
      </c>
      <c r="L138" s="6" t="n">
        <f aca="false">ROUND(I138*G138*F138,2)</f>
        <v>140</v>
      </c>
      <c r="M138" s="3" t="n">
        <v>127.8</v>
      </c>
      <c r="N138" s="5" t="n">
        <f aca="false">IFERROR(ROUND(K138/M138,2),0)</f>
        <v>0.8</v>
      </c>
      <c r="O138" s="3" t="s">
        <v>31</v>
      </c>
    </row>
    <row r="139" customFormat="false" ht="15" hidden="false" customHeight="false" outlineLevel="0" collapsed="false">
      <c r="A139" s="3" t="s">
        <v>25</v>
      </c>
      <c r="B139" s="3" t="s">
        <v>27</v>
      </c>
      <c r="C139" s="3" t="s">
        <v>40</v>
      </c>
      <c r="D139" s="3" t="s">
        <v>41</v>
      </c>
      <c r="E139" s="3" t="s">
        <v>39</v>
      </c>
      <c r="F139" s="4" t="n">
        <v>20</v>
      </c>
      <c r="G139" s="3" t="n">
        <v>3.7</v>
      </c>
      <c r="H139" s="3" t="n">
        <v>30</v>
      </c>
      <c r="I139" s="3" t="n">
        <v>1</v>
      </c>
      <c r="J139" s="5" t="n">
        <f aca="false">H139-I139</f>
        <v>29</v>
      </c>
      <c r="K139" s="5" t="n">
        <f aca="false">ROUND(G139*J139,0)</f>
        <v>107</v>
      </c>
      <c r="L139" s="6" t="n">
        <f aca="false">ROUND(I139*G139*F139,2)</f>
        <v>74</v>
      </c>
      <c r="M139" s="3" t="n">
        <v>100.6</v>
      </c>
      <c r="N139" s="5" t="n">
        <f aca="false">IFERROR(ROUND(K139/M139,2),0)</f>
        <v>1.06</v>
      </c>
      <c r="O139" s="3" t="s">
        <v>31</v>
      </c>
    </row>
    <row r="140" customFormat="false" ht="15" hidden="false" customHeight="false" outlineLevel="0" collapsed="false">
      <c r="A140" s="3" t="s">
        <v>15</v>
      </c>
      <c r="B140" s="3" t="s">
        <v>28</v>
      </c>
      <c r="C140" s="3" t="s">
        <v>40</v>
      </c>
      <c r="D140" s="3" t="s">
        <v>41</v>
      </c>
      <c r="E140" s="3" t="s">
        <v>39</v>
      </c>
      <c r="F140" s="4" t="n">
        <v>20</v>
      </c>
      <c r="G140" s="3" t="n">
        <v>3.2</v>
      </c>
      <c r="H140" s="3" t="n">
        <v>31</v>
      </c>
      <c r="I140" s="3" t="n">
        <v>1</v>
      </c>
      <c r="J140" s="5" t="n">
        <f aca="false">H140-I140</f>
        <v>30</v>
      </c>
      <c r="K140" s="5" t="n">
        <f aca="false">ROUND(G140*J140,0)</f>
        <v>96</v>
      </c>
      <c r="L140" s="6" t="n">
        <f aca="false">ROUND(I140*G140*F140,2)</f>
        <v>64</v>
      </c>
      <c r="M140" s="3" t="n">
        <v>92.2</v>
      </c>
      <c r="N140" s="5" t="n">
        <f aca="false">IFERROR(ROUND(K140/M140,2),0)</f>
        <v>1.04</v>
      </c>
      <c r="O140" s="3" t="s">
        <v>31</v>
      </c>
    </row>
    <row r="141" customFormat="false" ht="15" hidden="false" customHeight="false" outlineLevel="0" collapsed="false">
      <c r="A141" s="3" t="s">
        <v>21</v>
      </c>
      <c r="B141" s="3" t="s">
        <v>28</v>
      </c>
      <c r="C141" s="3" t="s">
        <v>40</v>
      </c>
      <c r="D141" s="3" t="s">
        <v>41</v>
      </c>
      <c r="E141" s="3" t="s">
        <v>39</v>
      </c>
      <c r="F141" s="4" t="n">
        <v>20</v>
      </c>
      <c r="G141" s="3" t="n">
        <v>2.3</v>
      </c>
      <c r="H141" s="3" t="n">
        <v>28</v>
      </c>
      <c r="I141" s="3" t="n">
        <v>0</v>
      </c>
      <c r="J141" s="5" t="n">
        <f aca="false">H141-I141</f>
        <v>28</v>
      </c>
      <c r="K141" s="5" t="n">
        <f aca="false">ROUND(G141*J141,0)</f>
        <v>64</v>
      </c>
      <c r="L141" s="6" t="n">
        <f aca="false">ROUND(I141*G141*F141,2)</f>
        <v>0</v>
      </c>
      <c r="M141" s="3" t="n">
        <v>75.3</v>
      </c>
      <c r="N141" s="5" t="n">
        <f aca="false">IFERROR(ROUND(K141/M141,2),0)</f>
        <v>0.85</v>
      </c>
      <c r="O141" s="3" t="s">
        <v>31</v>
      </c>
    </row>
    <row r="142" customFormat="false" ht="15" hidden="false" customHeight="false" outlineLevel="0" collapsed="false">
      <c r="A142" s="3" t="s">
        <v>22</v>
      </c>
      <c r="B142" s="3" t="s">
        <v>28</v>
      </c>
      <c r="C142" s="3" t="s">
        <v>40</v>
      </c>
      <c r="D142" s="3" t="s">
        <v>41</v>
      </c>
      <c r="E142" s="3" t="s">
        <v>39</v>
      </c>
      <c r="F142" s="4" t="n">
        <v>20</v>
      </c>
      <c r="G142" s="3" t="n">
        <v>3.2</v>
      </c>
      <c r="H142" s="3" t="n">
        <v>31</v>
      </c>
      <c r="I142" s="3" t="n">
        <v>1</v>
      </c>
      <c r="J142" s="5" t="n">
        <f aca="false">H142-I142</f>
        <v>30</v>
      </c>
      <c r="K142" s="5" t="n">
        <f aca="false">ROUND(G142*J142,0)</f>
        <v>96</v>
      </c>
      <c r="L142" s="6" t="n">
        <f aca="false">ROUND(I142*G142*F142,2)</f>
        <v>64</v>
      </c>
      <c r="M142" s="3" t="n">
        <v>114.2</v>
      </c>
      <c r="N142" s="5" t="n">
        <f aca="false">IFERROR(ROUND(K142/M142,2),0)</f>
        <v>0.84</v>
      </c>
      <c r="O142" s="3" t="s">
        <v>31</v>
      </c>
    </row>
    <row r="143" customFormat="false" ht="15" hidden="false" customHeight="false" outlineLevel="0" collapsed="false">
      <c r="A143" s="3" t="s">
        <v>23</v>
      </c>
      <c r="B143" s="3" t="s">
        <v>28</v>
      </c>
      <c r="C143" s="3" t="s">
        <v>40</v>
      </c>
      <c r="D143" s="3" t="s">
        <v>41</v>
      </c>
      <c r="E143" s="3" t="s">
        <v>39</v>
      </c>
      <c r="F143" s="4" t="n">
        <v>20</v>
      </c>
      <c r="G143" s="3" t="n">
        <v>3.8</v>
      </c>
      <c r="H143" s="3" t="n">
        <v>30</v>
      </c>
      <c r="I143" s="3" t="n">
        <v>2</v>
      </c>
      <c r="J143" s="5" t="n">
        <f aca="false">H143-I143</f>
        <v>28</v>
      </c>
      <c r="K143" s="5" t="n">
        <f aca="false">ROUND(G143*J143,0)</f>
        <v>106</v>
      </c>
      <c r="L143" s="6" t="n">
        <f aca="false">ROUND(I143*G143*F143,2)</f>
        <v>152</v>
      </c>
      <c r="M143" s="3" t="n">
        <v>105.5</v>
      </c>
      <c r="N143" s="5" t="n">
        <f aca="false">IFERROR(ROUND(K143/M143,2),0)</f>
        <v>1</v>
      </c>
      <c r="O143" s="3" t="s">
        <v>31</v>
      </c>
    </row>
    <row r="144" customFormat="false" ht="15" hidden="false" customHeight="false" outlineLevel="0" collapsed="false">
      <c r="A144" s="3" t="s">
        <v>24</v>
      </c>
      <c r="B144" s="3" t="s">
        <v>28</v>
      </c>
      <c r="C144" s="3" t="s">
        <v>40</v>
      </c>
      <c r="D144" s="3" t="s">
        <v>41</v>
      </c>
      <c r="E144" s="3" t="s">
        <v>39</v>
      </c>
      <c r="F144" s="4" t="n">
        <v>20</v>
      </c>
      <c r="G144" s="3" t="n">
        <v>2.6</v>
      </c>
      <c r="H144" s="3" t="n">
        <v>31</v>
      </c>
      <c r="I144" s="3" t="n">
        <v>0</v>
      </c>
      <c r="J144" s="5" t="n">
        <f aca="false">H144-I144</f>
        <v>31</v>
      </c>
      <c r="K144" s="5" t="n">
        <f aca="false">ROUND(G144*J144,0)</f>
        <v>81</v>
      </c>
      <c r="L144" s="6" t="n">
        <f aca="false">ROUND(I144*G144*F144,2)</f>
        <v>0</v>
      </c>
      <c r="M144" s="3" t="n">
        <v>84.3</v>
      </c>
      <c r="N144" s="5" t="n">
        <f aca="false">IFERROR(ROUND(K144/M144,2),0)</f>
        <v>0.96</v>
      </c>
      <c r="O144" s="3" t="s">
        <v>31</v>
      </c>
    </row>
    <row r="145" customFormat="false" ht="15" hidden="false" customHeight="false" outlineLevel="0" collapsed="false">
      <c r="A145" s="3" t="s">
        <v>25</v>
      </c>
      <c r="B145" s="3" t="s">
        <v>28</v>
      </c>
      <c r="C145" s="3" t="s">
        <v>40</v>
      </c>
      <c r="D145" s="3" t="s">
        <v>41</v>
      </c>
      <c r="E145" s="3" t="s">
        <v>39</v>
      </c>
      <c r="F145" s="4" t="n">
        <v>20</v>
      </c>
      <c r="G145" s="3" t="n">
        <v>2.1</v>
      </c>
      <c r="H145" s="3" t="n">
        <v>30</v>
      </c>
      <c r="I145" s="3" t="n">
        <v>2</v>
      </c>
      <c r="J145" s="5" t="n">
        <f aca="false">H145-I145</f>
        <v>28</v>
      </c>
      <c r="K145" s="5" t="n">
        <f aca="false">ROUND(G145*J145,0)</f>
        <v>59</v>
      </c>
      <c r="L145" s="6" t="n">
        <f aca="false">ROUND(I145*G145*F145,2)</f>
        <v>84</v>
      </c>
      <c r="M145" s="3" t="n">
        <v>108.5</v>
      </c>
      <c r="N145" s="5" t="n">
        <f aca="false">IFERROR(ROUND(K145/M145,2),0)</f>
        <v>0.54</v>
      </c>
      <c r="O145" s="3" t="s">
        <v>31</v>
      </c>
    </row>
    <row r="146" customFormat="false" ht="15" hidden="false" customHeight="false" outlineLevel="0" collapsed="false">
      <c r="A146" s="3" t="s">
        <v>15</v>
      </c>
      <c r="B146" s="3" t="s">
        <v>16</v>
      </c>
      <c r="C146" s="3" t="s">
        <v>42</v>
      </c>
      <c r="D146" s="3" t="s">
        <v>43</v>
      </c>
      <c r="E146" s="3" t="s">
        <v>44</v>
      </c>
      <c r="F146" s="4" t="n">
        <v>28</v>
      </c>
      <c r="G146" s="3" t="n">
        <v>11.9</v>
      </c>
      <c r="H146" s="3" t="n">
        <v>31</v>
      </c>
      <c r="I146" s="3" t="n">
        <v>11</v>
      </c>
      <c r="J146" s="5" t="n">
        <f aca="false">H146-I146</f>
        <v>20</v>
      </c>
      <c r="K146" s="5" t="n">
        <f aca="false">ROUND(G146*J146,0)</f>
        <v>238</v>
      </c>
      <c r="L146" s="6" t="n">
        <f aca="false">ROUND(I146*G146*F146,2)</f>
        <v>3665.2</v>
      </c>
      <c r="M146" s="3" t="n">
        <v>26.1</v>
      </c>
      <c r="N146" s="5" t="n">
        <f aca="false">IFERROR(ROUND(K146/M146,2),0)</f>
        <v>9.12</v>
      </c>
      <c r="O146" s="3" t="s">
        <v>20</v>
      </c>
    </row>
    <row r="147" customFormat="false" ht="15" hidden="false" customHeight="false" outlineLevel="0" collapsed="false">
      <c r="A147" s="3" t="s">
        <v>21</v>
      </c>
      <c r="B147" s="3" t="s">
        <v>16</v>
      </c>
      <c r="C147" s="3" t="s">
        <v>42</v>
      </c>
      <c r="D147" s="3" t="s">
        <v>43</v>
      </c>
      <c r="E147" s="3" t="s">
        <v>44</v>
      </c>
      <c r="F147" s="4" t="n">
        <v>28</v>
      </c>
      <c r="G147" s="3" t="n">
        <v>11.1</v>
      </c>
      <c r="H147" s="3" t="n">
        <v>28</v>
      </c>
      <c r="I147" s="3" t="n">
        <v>11</v>
      </c>
      <c r="J147" s="5" t="n">
        <f aca="false">H147-I147</f>
        <v>17</v>
      </c>
      <c r="K147" s="5" t="n">
        <f aca="false">ROUND(G147*J147,0)</f>
        <v>189</v>
      </c>
      <c r="L147" s="6" t="n">
        <f aca="false">ROUND(I147*G147*F147,2)</f>
        <v>3418.8</v>
      </c>
      <c r="M147" s="3" t="n">
        <v>34.8</v>
      </c>
      <c r="N147" s="5" t="n">
        <f aca="false">IFERROR(ROUND(K147/M147,2),0)</f>
        <v>5.43</v>
      </c>
      <c r="O147" s="3" t="s">
        <v>20</v>
      </c>
    </row>
    <row r="148" customFormat="false" ht="15" hidden="false" customHeight="false" outlineLevel="0" collapsed="false">
      <c r="A148" s="3" t="s">
        <v>22</v>
      </c>
      <c r="B148" s="3" t="s">
        <v>16</v>
      </c>
      <c r="C148" s="3" t="s">
        <v>42</v>
      </c>
      <c r="D148" s="3" t="s">
        <v>43</v>
      </c>
      <c r="E148" s="3" t="s">
        <v>44</v>
      </c>
      <c r="F148" s="4" t="n">
        <v>28</v>
      </c>
      <c r="G148" s="3" t="n">
        <v>16.5</v>
      </c>
      <c r="H148" s="3" t="n">
        <v>31</v>
      </c>
      <c r="I148" s="3" t="n">
        <v>6</v>
      </c>
      <c r="J148" s="5" t="n">
        <f aca="false">H148-I148</f>
        <v>25</v>
      </c>
      <c r="K148" s="5" t="n">
        <f aca="false">ROUND(G148*J148,0)</f>
        <v>413</v>
      </c>
      <c r="L148" s="6" t="n">
        <f aca="false">ROUND(I148*G148*F148,2)</f>
        <v>2772</v>
      </c>
      <c r="M148" s="3" t="n">
        <v>31.5</v>
      </c>
      <c r="N148" s="5" t="n">
        <f aca="false">IFERROR(ROUND(K148/M148,2),0)</f>
        <v>13.11</v>
      </c>
      <c r="O148" s="3" t="s">
        <v>20</v>
      </c>
    </row>
    <row r="149" customFormat="false" ht="15" hidden="false" customHeight="false" outlineLevel="0" collapsed="false">
      <c r="A149" s="3" t="s">
        <v>23</v>
      </c>
      <c r="B149" s="3" t="s">
        <v>16</v>
      </c>
      <c r="C149" s="3" t="s">
        <v>42</v>
      </c>
      <c r="D149" s="3" t="s">
        <v>43</v>
      </c>
      <c r="E149" s="3" t="s">
        <v>44</v>
      </c>
      <c r="F149" s="4" t="n">
        <v>28</v>
      </c>
      <c r="G149" s="3" t="n">
        <v>11.6</v>
      </c>
      <c r="H149" s="3" t="n">
        <v>30</v>
      </c>
      <c r="I149" s="3" t="n">
        <v>9</v>
      </c>
      <c r="J149" s="5" t="n">
        <f aca="false">H149-I149</f>
        <v>21</v>
      </c>
      <c r="K149" s="5" t="n">
        <f aca="false">ROUND(G149*J149,0)</f>
        <v>244</v>
      </c>
      <c r="L149" s="6" t="n">
        <f aca="false">ROUND(I149*G149*F149,2)</f>
        <v>2923.2</v>
      </c>
      <c r="M149" s="3" t="n">
        <v>17.3</v>
      </c>
      <c r="N149" s="5" t="n">
        <f aca="false">IFERROR(ROUND(K149/M149,2),0)</f>
        <v>14.1</v>
      </c>
      <c r="O149" s="3" t="s">
        <v>20</v>
      </c>
    </row>
    <row r="150" customFormat="false" ht="15" hidden="false" customHeight="false" outlineLevel="0" collapsed="false">
      <c r="A150" s="3" t="s">
        <v>24</v>
      </c>
      <c r="B150" s="3" t="s">
        <v>16</v>
      </c>
      <c r="C150" s="3" t="s">
        <v>42</v>
      </c>
      <c r="D150" s="3" t="s">
        <v>43</v>
      </c>
      <c r="E150" s="3" t="s">
        <v>44</v>
      </c>
      <c r="F150" s="4" t="n">
        <v>28</v>
      </c>
      <c r="G150" s="3" t="n">
        <v>16.5</v>
      </c>
      <c r="H150" s="3" t="n">
        <v>31</v>
      </c>
      <c r="I150" s="3" t="n">
        <v>7</v>
      </c>
      <c r="J150" s="5" t="n">
        <f aca="false">H150-I150</f>
        <v>24</v>
      </c>
      <c r="K150" s="5" t="n">
        <f aca="false">ROUND(G150*J150,0)</f>
        <v>396</v>
      </c>
      <c r="L150" s="6" t="n">
        <f aca="false">ROUND(I150*G150*F150,2)</f>
        <v>3234</v>
      </c>
      <c r="M150" s="3" t="n">
        <v>31.8</v>
      </c>
      <c r="N150" s="5" t="n">
        <f aca="false">IFERROR(ROUND(K150/M150,2),0)</f>
        <v>12.45</v>
      </c>
      <c r="O150" s="3" t="s">
        <v>20</v>
      </c>
    </row>
    <row r="151" customFormat="false" ht="15" hidden="false" customHeight="false" outlineLevel="0" collapsed="false">
      <c r="A151" s="3" t="s">
        <v>25</v>
      </c>
      <c r="B151" s="3" t="s">
        <v>16</v>
      </c>
      <c r="C151" s="3" t="s">
        <v>42</v>
      </c>
      <c r="D151" s="3" t="s">
        <v>43</v>
      </c>
      <c r="E151" s="3" t="s">
        <v>44</v>
      </c>
      <c r="F151" s="4" t="n">
        <v>28</v>
      </c>
      <c r="G151" s="3" t="n">
        <v>11.2</v>
      </c>
      <c r="H151" s="3" t="n">
        <v>30</v>
      </c>
      <c r="I151" s="3" t="n">
        <v>7</v>
      </c>
      <c r="J151" s="5" t="n">
        <f aca="false">H151-I151</f>
        <v>23</v>
      </c>
      <c r="K151" s="5" t="n">
        <f aca="false">ROUND(G151*J151,0)</f>
        <v>258</v>
      </c>
      <c r="L151" s="6" t="n">
        <f aca="false">ROUND(I151*G151*F151,2)</f>
        <v>2195.2</v>
      </c>
      <c r="M151" s="3" t="n">
        <v>18.7</v>
      </c>
      <c r="N151" s="5" t="n">
        <f aca="false">IFERROR(ROUND(K151/M151,2),0)</f>
        <v>13.8</v>
      </c>
      <c r="O151" s="3" t="s">
        <v>20</v>
      </c>
    </row>
    <row r="152" customFormat="false" ht="15" hidden="false" customHeight="false" outlineLevel="0" collapsed="false">
      <c r="A152" s="3" t="s">
        <v>15</v>
      </c>
      <c r="B152" s="3" t="s">
        <v>26</v>
      </c>
      <c r="C152" s="3" t="s">
        <v>42</v>
      </c>
      <c r="D152" s="3" t="s">
        <v>43</v>
      </c>
      <c r="E152" s="3" t="s">
        <v>44</v>
      </c>
      <c r="F152" s="4" t="n">
        <v>28</v>
      </c>
      <c r="G152" s="3" t="n">
        <v>8.3</v>
      </c>
      <c r="H152" s="3" t="n">
        <v>31</v>
      </c>
      <c r="I152" s="3" t="n">
        <v>11</v>
      </c>
      <c r="J152" s="5" t="n">
        <f aca="false">H152-I152</f>
        <v>20</v>
      </c>
      <c r="K152" s="5" t="n">
        <f aca="false">ROUND(G152*J152,0)</f>
        <v>166</v>
      </c>
      <c r="L152" s="6" t="n">
        <f aca="false">ROUND(I152*G152*F152,2)</f>
        <v>2556.4</v>
      </c>
      <c r="M152" s="3" t="n">
        <v>30.3</v>
      </c>
      <c r="N152" s="5" t="n">
        <f aca="false">IFERROR(ROUND(K152/M152,2),0)</f>
        <v>5.48</v>
      </c>
      <c r="O152" s="3" t="s">
        <v>20</v>
      </c>
    </row>
    <row r="153" customFormat="false" ht="15" hidden="false" customHeight="false" outlineLevel="0" collapsed="false">
      <c r="A153" s="3" t="s">
        <v>21</v>
      </c>
      <c r="B153" s="3" t="s">
        <v>26</v>
      </c>
      <c r="C153" s="3" t="s">
        <v>42</v>
      </c>
      <c r="D153" s="3" t="s">
        <v>43</v>
      </c>
      <c r="E153" s="3" t="s">
        <v>44</v>
      </c>
      <c r="F153" s="4" t="n">
        <v>28</v>
      </c>
      <c r="G153" s="3" t="n">
        <v>12.6</v>
      </c>
      <c r="H153" s="3" t="n">
        <v>28</v>
      </c>
      <c r="I153" s="3" t="n">
        <v>11</v>
      </c>
      <c r="J153" s="5" t="n">
        <f aca="false">H153-I153</f>
        <v>17</v>
      </c>
      <c r="K153" s="5" t="n">
        <f aca="false">ROUND(G153*J153,0)</f>
        <v>214</v>
      </c>
      <c r="L153" s="6" t="n">
        <f aca="false">ROUND(I153*G153*F153,2)</f>
        <v>3880.8</v>
      </c>
      <c r="M153" s="3" t="n">
        <v>25.4</v>
      </c>
      <c r="N153" s="5" t="n">
        <f aca="false">IFERROR(ROUND(K153/M153,2),0)</f>
        <v>8.43</v>
      </c>
      <c r="O153" s="3" t="s">
        <v>20</v>
      </c>
    </row>
    <row r="154" customFormat="false" ht="15" hidden="false" customHeight="false" outlineLevel="0" collapsed="false">
      <c r="A154" s="3" t="s">
        <v>22</v>
      </c>
      <c r="B154" s="3" t="s">
        <v>26</v>
      </c>
      <c r="C154" s="3" t="s">
        <v>42</v>
      </c>
      <c r="D154" s="3" t="s">
        <v>43</v>
      </c>
      <c r="E154" s="3" t="s">
        <v>44</v>
      </c>
      <c r="F154" s="4" t="n">
        <v>28</v>
      </c>
      <c r="G154" s="3" t="n">
        <v>11.8</v>
      </c>
      <c r="H154" s="3" t="n">
        <v>31</v>
      </c>
      <c r="I154" s="3" t="n">
        <v>7</v>
      </c>
      <c r="J154" s="5" t="n">
        <f aca="false">H154-I154</f>
        <v>24</v>
      </c>
      <c r="K154" s="5" t="n">
        <f aca="false">ROUND(G154*J154,0)</f>
        <v>283</v>
      </c>
      <c r="L154" s="6" t="n">
        <f aca="false">ROUND(I154*G154*F154,2)</f>
        <v>2312.8</v>
      </c>
      <c r="M154" s="3" t="n">
        <v>33</v>
      </c>
      <c r="N154" s="5" t="n">
        <f aca="false">IFERROR(ROUND(K154/M154,2),0)</f>
        <v>8.58</v>
      </c>
      <c r="O154" s="3" t="s">
        <v>20</v>
      </c>
    </row>
    <row r="155" customFormat="false" ht="15" hidden="false" customHeight="false" outlineLevel="0" collapsed="false">
      <c r="A155" s="3" t="s">
        <v>23</v>
      </c>
      <c r="B155" s="3" t="s">
        <v>26</v>
      </c>
      <c r="C155" s="3" t="s">
        <v>42</v>
      </c>
      <c r="D155" s="3" t="s">
        <v>43</v>
      </c>
      <c r="E155" s="3" t="s">
        <v>44</v>
      </c>
      <c r="F155" s="4" t="n">
        <v>28</v>
      </c>
      <c r="G155" s="3" t="n">
        <v>10.3</v>
      </c>
      <c r="H155" s="3" t="n">
        <v>30</v>
      </c>
      <c r="I155" s="3" t="n">
        <v>10</v>
      </c>
      <c r="J155" s="5" t="n">
        <f aca="false">H155-I155</f>
        <v>20</v>
      </c>
      <c r="K155" s="5" t="n">
        <f aca="false">ROUND(G155*J155,0)</f>
        <v>206</v>
      </c>
      <c r="L155" s="6" t="n">
        <f aca="false">ROUND(I155*G155*F155,2)</f>
        <v>2884</v>
      </c>
      <c r="M155" s="3" t="n">
        <v>21.1</v>
      </c>
      <c r="N155" s="5" t="n">
        <f aca="false">IFERROR(ROUND(K155/M155,2),0)</f>
        <v>9.76</v>
      </c>
      <c r="O155" s="3" t="s">
        <v>20</v>
      </c>
    </row>
    <row r="156" customFormat="false" ht="15" hidden="false" customHeight="false" outlineLevel="0" collapsed="false">
      <c r="A156" s="3" t="s">
        <v>24</v>
      </c>
      <c r="B156" s="3" t="s">
        <v>26</v>
      </c>
      <c r="C156" s="3" t="s">
        <v>42</v>
      </c>
      <c r="D156" s="3" t="s">
        <v>43</v>
      </c>
      <c r="E156" s="3" t="s">
        <v>44</v>
      </c>
      <c r="F156" s="4" t="n">
        <v>28</v>
      </c>
      <c r="G156" s="3" t="n">
        <v>11.9</v>
      </c>
      <c r="H156" s="3" t="n">
        <v>31</v>
      </c>
      <c r="I156" s="3" t="n">
        <v>4</v>
      </c>
      <c r="J156" s="5" t="n">
        <f aca="false">H156-I156</f>
        <v>27</v>
      </c>
      <c r="K156" s="5" t="n">
        <f aca="false">ROUND(G156*J156,0)</f>
        <v>321</v>
      </c>
      <c r="L156" s="6" t="n">
        <f aca="false">ROUND(I156*G156*F156,2)</f>
        <v>1332.8</v>
      </c>
      <c r="M156" s="3" t="n">
        <v>37.3</v>
      </c>
      <c r="N156" s="5" t="n">
        <f aca="false">IFERROR(ROUND(K156/M156,2),0)</f>
        <v>8.61</v>
      </c>
      <c r="O156" s="3" t="s">
        <v>20</v>
      </c>
    </row>
    <row r="157" customFormat="false" ht="15" hidden="false" customHeight="false" outlineLevel="0" collapsed="false">
      <c r="A157" s="3" t="s">
        <v>25</v>
      </c>
      <c r="B157" s="3" t="s">
        <v>26</v>
      </c>
      <c r="C157" s="3" t="s">
        <v>42</v>
      </c>
      <c r="D157" s="3" t="s">
        <v>43</v>
      </c>
      <c r="E157" s="3" t="s">
        <v>44</v>
      </c>
      <c r="F157" s="4" t="n">
        <v>28</v>
      </c>
      <c r="G157" s="3" t="n">
        <v>13.2</v>
      </c>
      <c r="H157" s="3" t="n">
        <v>30</v>
      </c>
      <c r="I157" s="3" t="n">
        <v>5</v>
      </c>
      <c r="J157" s="5" t="n">
        <f aca="false">H157-I157</f>
        <v>25</v>
      </c>
      <c r="K157" s="5" t="n">
        <f aca="false">ROUND(G157*J157,0)</f>
        <v>330</v>
      </c>
      <c r="L157" s="6" t="n">
        <f aca="false">ROUND(I157*G157*F157,2)</f>
        <v>1848</v>
      </c>
      <c r="M157" s="3" t="n">
        <v>34.5</v>
      </c>
      <c r="N157" s="5" t="n">
        <f aca="false">IFERROR(ROUND(K157/M157,2),0)</f>
        <v>9.57</v>
      </c>
      <c r="O157" s="3" t="s">
        <v>20</v>
      </c>
    </row>
    <row r="158" customFormat="false" ht="15" hidden="false" customHeight="false" outlineLevel="0" collapsed="false">
      <c r="A158" s="3" t="s">
        <v>15</v>
      </c>
      <c r="B158" s="3" t="s">
        <v>27</v>
      </c>
      <c r="C158" s="3" t="s">
        <v>42</v>
      </c>
      <c r="D158" s="3" t="s">
        <v>43</v>
      </c>
      <c r="E158" s="3" t="s">
        <v>44</v>
      </c>
      <c r="F158" s="4" t="n">
        <v>28</v>
      </c>
      <c r="G158" s="3" t="n">
        <v>8.4</v>
      </c>
      <c r="H158" s="3" t="n">
        <v>31</v>
      </c>
      <c r="I158" s="3" t="n">
        <v>12</v>
      </c>
      <c r="J158" s="5" t="n">
        <f aca="false">H158-I158</f>
        <v>19</v>
      </c>
      <c r="K158" s="5" t="n">
        <f aca="false">ROUND(G158*J158,0)</f>
        <v>160</v>
      </c>
      <c r="L158" s="6" t="n">
        <f aca="false">ROUND(I158*G158*F158,2)</f>
        <v>2822.4</v>
      </c>
      <c r="M158" s="3" t="n">
        <v>26.6</v>
      </c>
      <c r="N158" s="5" t="n">
        <f aca="false">IFERROR(ROUND(K158/M158,2),0)</f>
        <v>6.02</v>
      </c>
      <c r="O158" s="3" t="s">
        <v>20</v>
      </c>
    </row>
    <row r="159" customFormat="false" ht="15" hidden="false" customHeight="false" outlineLevel="0" collapsed="false">
      <c r="A159" s="3" t="s">
        <v>21</v>
      </c>
      <c r="B159" s="3" t="s">
        <v>27</v>
      </c>
      <c r="C159" s="3" t="s">
        <v>42</v>
      </c>
      <c r="D159" s="3" t="s">
        <v>43</v>
      </c>
      <c r="E159" s="3" t="s">
        <v>44</v>
      </c>
      <c r="F159" s="4" t="n">
        <v>28</v>
      </c>
      <c r="G159" s="3" t="n">
        <v>10.2</v>
      </c>
      <c r="H159" s="3" t="n">
        <v>28</v>
      </c>
      <c r="I159" s="3" t="n">
        <v>5</v>
      </c>
      <c r="J159" s="5" t="n">
        <f aca="false">H159-I159</f>
        <v>23</v>
      </c>
      <c r="K159" s="5" t="n">
        <f aca="false">ROUND(G159*J159,0)</f>
        <v>235</v>
      </c>
      <c r="L159" s="6" t="n">
        <f aca="false">ROUND(I159*G159*F159,2)</f>
        <v>1428</v>
      </c>
      <c r="M159" s="3" t="n">
        <v>26.4</v>
      </c>
      <c r="N159" s="5" t="n">
        <f aca="false">IFERROR(ROUND(K159/M159,2),0)</f>
        <v>8.9</v>
      </c>
      <c r="O159" s="3" t="s">
        <v>20</v>
      </c>
    </row>
    <row r="160" customFormat="false" ht="15" hidden="false" customHeight="false" outlineLevel="0" collapsed="false">
      <c r="A160" s="3" t="s">
        <v>22</v>
      </c>
      <c r="B160" s="3" t="s">
        <v>27</v>
      </c>
      <c r="C160" s="3" t="s">
        <v>42</v>
      </c>
      <c r="D160" s="3" t="s">
        <v>43</v>
      </c>
      <c r="E160" s="3" t="s">
        <v>44</v>
      </c>
      <c r="F160" s="4" t="n">
        <v>28</v>
      </c>
      <c r="G160" s="3" t="n">
        <v>11.5</v>
      </c>
      <c r="H160" s="3" t="n">
        <v>31</v>
      </c>
      <c r="I160" s="3" t="n">
        <v>12</v>
      </c>
      <c r="J160" s="5" t="n">
        <f aca="false">H160-I160</f>
        <v>19</v>
      </c>
      <c r="K160" s="5" t="n">
        <f aca="false">ROUND(G160*J160,0)</f>
        <v>219</v>
      </c>
      <c r="L160" s="6" t="n">
        <f aca="false">ROUND(I160*G160*F160,2)</f>
        <v>3864</v>
      </c>
      <c r="M160" s="3" t="n">
        <v>39.7</v>
      </c>
      <c r="N160" s="5" t="n">
        <f aca="false">IFERROR(ROUND(K160/M160,2),0)</f>
        <v>5.52</v>
      </c>
      <c r="O160" s="3" t="s">
        <v>20</v>
      </c>
    </row>
    <row r="161" customFormat="false" ht="15" hidden="false" customHeight="false" outlineLevel="0" collapsed="false">
      <c r="A161" s="3" t="s">
        <v>23</v>
      </c>
      <c r="B161" s="3" t="s">
        <v>27</v>
      </c>
      <c r="C161" s="3" t="s">
        <v>42</v>
      </c>
      <c r="D161" s="3" t="s">
        <v>43</v>
      </c>
      <c r="E161" s="3" t="s">
        <v>44</v>
      </c>
      <c r="F161" s="4" t="n">
        <v>28</v>
      </c>
      <c r="G161" s="3" t="n">
        <v>10.4</v>
      </c>
      <c r="H161" s="3" t="n">
        <v>30</v>
      </c>
      <c r="I161" s="3" t="n">
        <v>11</v>
      </c>
      <c r="J161" s="5" t="n">
        <f aca="false">H161-I161</f>
        <v>19</v>
      </c>
      <c r="K161" s="5" t="n">
        <f aca="false">ROUND(G161*J161,0)</f>
        <v>198</v>
      </c>
      <c r="L161" s="6" t="n">
        <f aca="false">ROUND(I161*G161*F161,2)</f>
        <v>3203.2</v>
      </c>
      <c r="M161" s="3" t="n">
        <v>30.3</v>
      </c>
      <c r="N161" s="5" t="n">
        <f aca="false">IFERROR(ROUND(K161/M161,2),0)</f>
        <v>6.53</v>
      </c>
      <c r="O161" s="3" t="s">
        <v>20</v>
      </c>
    </row>
    <row r="162" customFormat="false" ht="15" hidden="false" customHeight="false" outlineLevel="0" collapsed="false">
      <c r="A162" s="3" t="s">
        <v>24</v>
      </c>
      <c r="B162" s="3" t="s">
        <v>27</v>
      </c>
      <c r="C162" s="3" t="s">
        <v>42</v>
      </c>
      <c r="D162" s="3" t="s">
        <v>43</v>
      </c>
      <c r="E162" s="3" t="s">
        <v>44</v>
      </c>
      <c r="F162" s="4" t="n">
        <v>28</v>
      </c>
      <c r="G162" s="3" t="n">
        <v>11.1</v>
      </c>
      <c r="H162" s="3" t="n">
        <v>31</v>
      </c>
      <c r="I162" s="3" t="n">
        <v>12</v>
      </c>
      <c r="J162" s="5" t="n">
        <f aca="false">H162-I162</f>
        <v>19</v>
      </c>
      <c r="K162" s="5" t="n">
        <f aca="false">ROUND(G162*J162,0)</f>
        <v>211</v>
      </c>
      <c r="L162" s="6" t="n">
        <f aca="false">ROUND(I162*G162*F162,2)</f>
        <v>3729.6</v>
      </c>
      <c r="M162" s="3" t="n">
        <v>25.7</v>
      </c>
      <c r="N162" s="5" t="n">
        <f aca="false">IFERROR(ROUND(K162/M162,2),0)</f>
        <v>8.21</v>
      </c>
      <c r="O162" s="3" t="s">
        <v>20</v>
      </c>
    </row>
    <row r="163" customFormat="false" ht="15" hidden="false" customHeight="false" outlineLevel="0" collapsed="false">
      <c r="A163" s="3" t="s">
        <v>25</v>
      </c>
      <c r="B163" s="3" t="s">
        <v>27</v>
      </c>
      <c r="C163" s="3" t="s">
        <v>42</v>
      </c>
      <c r="D163" s="3" t="s">
        <v>43</v>
      </c>
      <c r="E163" s="3" t="s">
        <v>44</v>
      </c>
      <c r="F163" s="4" t="n">
        <v>28</v>
      </c>
      <c r="G163" s="3" t="n">
        <v>12.1</v>
      </c>
      <c r="H163" s="3" t="n">
        <v>30</v>
      </c>
      <c r="I163" s="3" t="n">
        <v>11</v>
      </c>
      <c r="J163" s="5" t="n">
        <f aca="false">H163-I163</f>
        <v>19</v>
      </c>
      <c r="K163" s="5" t="n">
        <f aca="false">ROUND(G163*J163,0)</f>
        <v>230</v>
      </c>
      <c r="L163" s="6" t="n">
        <f aca="false">ROUND(I163*G163*F163,2)</f>
        <v>3726.8</v>
      </c>
      <c r="M163" s="3" t="n">
        <v>37.4</v>
      </c>
      <c r="N163" s="5" t="n">
        <f aca="false">IFERROR(ROUND(K163/M163,2),0)</f>
        <v>6.15</v>
      </c>
      <c r="O163" s="3" t="s">
        <v>20</v>
      </c>
    </row>
    <row r="164" customFormat="false" ht="15" hidden="false" customHeight="false" outlineLevel="0" collapsed="false">
      <c r="A164" s="3" t="s">
        <v>15</v>
      </c>
      <c r="B164" s="3" t="s">
        <v>28</v>
      </c>
      <c r="C164" s="3" t="s">
        <v>42</v>
      </c>
      <c r="D164" s="3" t="s">
        <v>43</v>
      </c>
      <c r="E164" s="3" t="s">
        <v>44</v>
      </c>
      <c r="F164" s="4" t="n">
        <v>28</v>
      </c>
      <c r="G164" s="3" t="n">
        <v>10</v>
      </c>
      <c r="H164" s="3" t="n">
        <v>31</v>
      </c>
      <c r="I164" s="3" t="n">
        <v>11</v>
      </c>
      <c r="J164" s="5" t="n">
        <f aca="false">H164-I164</f>
        <v>20</v>
      </c>
      <c r="K164" s="5" t="n">
        <f aca="false">ROUND(G164*J164,0)</f>
        <v>200</v>
      </c>
      <c r="L164" s="6" t="n">
        <f aca="false">ROUND(I164*G164*F164,2)</f>
        <v>3080</v>
      </c>
      <c r="M164" s="3" t="n">
        <v>26.3</v>
      </c>
      <c r="N164" s="5" t="n">
        <f aca="false">IFERROR(ROUND(K164/M164,2),0)</f>
        <v>7.6</v>
      </c>
      <c r="O164" s="3" t="s">
        <v>20</v>
      </c>
    </row>
    <row r="165" customFormat="false" ht="15" hidden="false" customHeight="false" outlineLevel="0" collapsed="false">
      <c r="A165" s="3" t="s">
        <v>21</v>
      </c>
      <c r="B165" s="3" t="s">
        <v>28</v>
      </c>
      <c r="C165" s="3" t="s">
        <v>42</v>
      </c>
      <c r="D165" s="3" t="s">
        <v>43</v>
      </c>
      <c r="E165" s="3" t="s">
        <v>44</v>
      </c>
      <c r="F165" s="4" t="n">
        <v>28</v>
      </c>
      <c r="G165" s="3" t="n">
        <v>10</v>
      </c>
      <c r="H165" s="3" t="n">
        <v>28</v>
      </c>
      <c r="I165" s="3" t="n">
        <v>8</v>
      </c>
      <c r="J165" s="5" t="n">
        <f aca="false">H165-I165</f>
        <v>20</v>
      </c>
      <c r="K165" s="5" t="n">
        <f aca="false">ROUND(G165*J165,0)</f>
        <v>200</v>
      </c>
      <c r="L165" s="6" t="n">
        <f aca="false">ROUND(I165*G165*F165,2)</f>
        <v>2240</v>
      </c>
      <c r="M165" s="3" t="n">
        <v>34.1</v>
      </c>
      <c r="N165" s="5" t="n">
        <f aca="false">IFERROR(ROUND(K165/M165,2),0)</f>
        <v>5.87</v>
      </c>
      <c r="O165" s="3" t="s">
        <v>20</v>
      </c>
    </row>
    <row r="166" customFormat="false" ht="15" hidden="false" customHeight="false" outlineLevel="0" collapsed="false">
      <c r="A166" s="3" t="s">
        <v>22</v>
      </c>
      <c r="B166" s="3" t="s">
        <v>28</v>
      </c>
      <c r="C166" s="3" t="s">
        <v>42</v>
      </c>
      <c r="D166" s="3" t="s">
        <v>43</v>
      </c>
      <c r="E166" s="3" t="s">
        <v>44</v>
      </c>
      <c r="F166" s="4" t="n">
        <v>28</v>
      </c>
      <c r="G166" s="3" t="n">
        <v>8.9</v>
      </c>
      <c r="H166" s="3" t="n">
        <v>31</v>
      </c>
      <c r="I166" s="3" t="n">
        <v>7</v>
      </c>
      <c r="J166" s="5" t="n">
        <f aca="false">H166-I166</f>
        <v>24</v>
      </c>
      <c r="K166" s="5" t="n">
        <f aca="false">ROUND(G166*J166,0)</f>
        <v>214</v>
      </c>
      <c r="L166" s="6" t="n">
        <f aca="false">ROUND(I166*G166*F166,2)</f>
        <v>1744.4</v>
      </c>
      <c r="M166" s="3" t="n">
        <v>21.9</v>
      </c>
      <c r="N166" s="5" t="n">
        <f aca="false">IFERROR(ROUND(K166/M166,2),0)</f>
        <v>9.77</v>
      </c>
      <c r="O166" s="3" t="s">
        <v>20</v>
      </c>
    </row>
    <row r="167" customFormat="false" ht="15" hidden="false" customHeight="false" outlineLevel="0" collapsed="false">
      <c r="A167" s="3" t="s">
        <v>23</v>
      </c>
      <c r="B167" s="3" t="s">
        <v>28</v>
      </c>
      <c r="C167" s="3" t="s">
        <v>42</v>
      </c>
      <c r="D167" s="3" t="s">
        <v>43</v>
      </c>
      <c r="E167" s="3" t="s">
        <v>44</v>
      </c>
      <c r="F167" s="4" t="n">
        <v>28</v>
      </c>
      <c r="G167" s="3" t="n">
        <v>6.8</v>
      </c>
      <c r="H167" s="3" t="n">
        <v>30</v>
      </c>
      <c r="I167" s="3" t="n">
        <v>8</v>
      </c>
      <c r="J167" s="5" t="n">
        <f aca="false">H167-I167</f>
        <v>22</v>
      </c>
      <c r="K167" s="5" t="n">
        <f aca="false">ROUND(G167*J167,0)</f>
        <v>150</v>
      </c>
      <c r="L167" s="6" t="n">
        <f aca="false">ROUND(I167*G167*F167,2)</f>
        <v>1523.2</v>
      </c>
      <c r="M167" s="3" t="n">
        <v>20.9</v>
      </c>
      <c r="N167" s="5" t="n">
        <f aca="false">IFERROR(ROUND(K167/M167,2),0)</f>
        <v>7.18</v>
      </c>
      <c r="O167" s="3" t="s">
        <v>20</v>
      </c>
    </row>
    <row r="168" customFormat="false" ht="15" hidden="false" customHeight="false" outlineLevel="0" collapsed="false">
      <c r="A168" s="3" t="s">
        <v>24</v>
      </c>
      <c r="B168" s="3" t="s">
        <v>28</v>
      </c>
      <c r="C168" s="3" t="s">
        <v>42</v>
      </c>
      <c r="D168" s="3" t="s">
        <v>43</v>
      </c>
      <c r="E168" s="3" t="s">
        <v>44</v>
      </c>
      <c r="F168" s="4" t="n">
        <v>28</v>
      </c>
      <c r="G168" s="3" t="n">
        <v>8</v>
      </c>
      <c r="H168" s="3" t="n">
        <v>31</v>
      </c>
      <c r="I168" s="3" t="n">
        <v>12</v>
      </c>
      <c r="J168" s="5" t="n">
        <f aca="false">H168-I168</f>
        <v>19</v>
      </c>
      <c r="K168" s="5" t="n">
        <f aca="false">ROUND(G168*J168,0)</f>
        <v>152</v>
      </c>
      <c r="L168" s="6" t="n">
        <f aca="false">ROUND(I168*G168*F168,2)</f>
        <v>2688</v>
      </c>
      <c r="M168" s="3" t="n">
        <v>17</v>
      </c>
      <c r="N168" s="5" t="n">
        <f aca="false">IFERROR(ROUND(K168/M168,2),0)</f>
        <v>8.94</v>
      </c>
      <c r="O168" s="3" t="s">
        <v>20</v>
      </c>
    </row>
    <row r="169" customFormat="false" ht="15" hidden="false" customHeight="false" outlineLevel="0" collapsed="false">
      <c r="A169" s="3" t="s">
        <v>25</v>
      </c>
      <c r="B169" s="3" t="s">
        <v>28</v>
      </c>
      <c r="C169" s="3" t="s">
        <v>42</v>
      </c>
      <c r="D169" s="3" t="s">
        <v>43</v>
      </c>
      <c r="E169" s="3" t="s">
        <v>44</v>
      </c>
      <c r="F169" s="4" t="n">
        <v>28</v>
      </c>
      <c r="G169" s="3" t="n">
        <v>7.1</v>
      </c>
      <c r="H169" s="3" t="n">
        <v>30</v>
      </c>
      <c r="I169" s="3" t="n">
        <v>10</v>
      </c>
      <c r="J169" s="5" t="n">
        <f aca="false">H169-I169</f>
        <v>20</v>
      </c>
      <c r="K169" s="5" t="n">
        <f aca="false">ROUND(G169*J169,0)</f>
        <v>142</v>
      </c>
      <c r="L169" s="6" t="n">
        <f aca="false">ROUND(I169*G169*F169,2)</f>
        <v>1988</v>
      </c>
      <c r="M169" s="3" t="n">
        <v>32.3</v>
      </c>
      <c r="N169" s="5" t="n">
        <f aca="false">IFERROR(ROUND(K169/M169,2),0)</f>
        <v>4.4</v>
      </c>
      <c r="O169" s="3" t="s">
        <v>20</v>
      </c>
    </row>
    <row r="170" customFormat="false" ht="15" hidden="false" customHeight="false" outlineLevel="0" collapsed="false">
      <c r="A170" s="3" t="s">
        <v>15</v>
      </c>
      <c r="B170" s="3" t="s">
        <v>16</v>
      </c>
      <c r="C170" s="3" t="s">
        <v>45</v>
      </c>
      <c r="D170" s="3" t="s">
        <v>46</v>
      </c>
      <c r="E170" s="3" t="s">
        <v>44</v>
      </c>
      <c r="F170" s="4" t="n">
        <v>35</v>
      </c>
      <c r="G170" s="3" t="n">
        <v>4.9</v>
      </c>
      <c r="H170" s="3" t="n">
        <v>31</v>
      </c>
      <c r="I170" s="3" t="n">
        <v>0</v>
      </c>
      <c r="J170" s="5" t="n">
        <f aca="false">H170-I170</f>
        <v>31</v>
      </c>
      <c r="K170" s="5" t="n">
        <f aca="false">ROUND(G170*J170,0)</f>
        <v>152</v>
      </c>
      <c r="L170" s="6" t="n">
        <f aca="false">ROUND(I170*G170*F170,2)</f>
        <v>0</v>
      </c>
      <c r="M170" s="3" t="n">
        <v>93.2</v>
      </c>
      <c r="N170" s="5" t="n">
        <f aca="false">IFERROR(ROUND(K170/M170,2),0)</f>
        <v>1.63</v>
      </c>
      <c r="O170" s="3" t="s">
        <v>31</v>
      </c>
    </row>
    <row r="171" customFormat="false" ht="15" hidden="false" customHeight="false" outlineLevel="0" collapsed="false">
      <c r="A171" s="3" t="s">
        <v>21</v>
      </c>
      <c r="B171" s="3" t="s">
        <v>16</v>
      </c>
      <c r="C171" s="3" t="s">
        <v>45</v>
      </c>
      <c r="D171" s="3" t="s">
        <v>46</v>
      </c>
      <c r="E171" s="3" t="s">
        <v>44</v>
      </c>
      <c r="F171" s="4" t="n">
        <v>35</v>
      </c>
      <c r="G171" s="3" t="n">
        <v>3.6</v>
      </c>
      <c r="H171" s="3" t="n">
        <v>28</v>
      </c>
      <c r="I171" s="3" t="n">
        <v>1</v>
      </c>
      <c r="J171" s="5" t="n">
        <f aca="false">H171-I171</f>
        <v>27</v>
      </c>
      <c r="K171" s="5" t="n">
        <f aca="false">ROUND(G171*J171,0)</f>
        <v>97</v>
      </c>
      <c r="L171" s="6" t="n">
        <f aca="false">ROUND(I171*G171*F171,2)</f>
        <v>126</v>
      </c>
      <c r="M171" s="3" t="n">
        <v>93.3</v>
      </c>
      <c r="N171" s="5" t="n">
        <f aca="false">IFERROR(ROUND(K171/M171,2),0)</f>
        <v>1.04</v>
      </c>
      <c r="O171" s="3" t="s">
        <v>31</v>
      </c>
    </row>
    <row r="172" customFormat="false" ht="15" hidden="false" customHeight="false" outlineLevel="0" collapsed="false">
      <c r="A172" s="3" t="s">
        <v>22</v>
      </c>
      <c r="B172" s="3" t="s">
        <v>16</v>
      </c>
      <c r="C172" s="3" t="s">
        <v>45</v>
      </c>
      <c r="D172" s="3" t="s">
        <v>46</v>
      </c>
      <c r="E172" s="3" t="s">
        <v>44</v>
      </c>
      <c r="F172" s="4" t="n">
        <v>35</v>
      </c>
      <c r="G172" s="3" t="n">
        <v>3.1</v>
      </c>
      <c r="H172" s="3" t="n">
        <v>31</v>
      </c>
      <c r="I172" s="3" t="n">
        <v>1</v>
      </c>
      <c r="J172" s="5" t="n">
        <f aca="false">H172-I172</f>
        <v>30</v>
      </c>
      <c r="K172" s="5" t="n">
        <f aca="false">ROUND(G172*J172,0)</f>
        <v>93</v>
      </c>
      <c r="L172" s="6" t="n">
        <f aca="false">ROUND(I172*G172*F172,2)</f>
        <v>108.5</v>
      </c>
      <c r="M172" s="3" t="n">
        <v>91.2</v>
      </c>
      <c r="N172" s="5" t="n">
        <f aca="false">IFERROR(ROUND(K172/M172,2),0)</f>
        <v>1.02</v>
      </c>
      <c r="O172" s="3" t="s">
        <v>31</v>
      </c>
    </row>
    <row r="173" customFormat="false" ht="15" hidden="false" customHeight="false" outlineLevel="0" collapsed="false">
      <c r="A173" s="3" t="s">
        <v>23</v>
      </c>
      <c r="B173" s="3" t="s">
        <v>16</v>
      </c>
      <c r="C173" s="3" t="s">
        <v>45</v>
      </c>
      <c r="D173" s="3" t="s">
        <v>46</v>
      </c>
      <c r="E173" s="3" t="s">
        <v>44</v>
      </c>
      <c r="F173" s="4" t="n">
        <v>35</v>
      </c>
      <c r="G173" s="3" t="n">
        <v>5.2</v>
      </c>
      <c r="H173" s="3" t="n">
        <v>30</v>
      </c>
      <c r="I173" s="3" t="n">
        <v>2</v>
      </c>
      <c r="J173" s="5" t="n">
        <f aca="false">H173-I173</f>
        <v>28</v>
      </c>
      <c r="K173" s="5" t="n">
        <f aca="false">ROUND(G173*J173,0)</f>
        <v>146</v>
      </c>
      <c r="L173" s="6" t="n">
        <f aca="false">ROUND(I173*G173*F173,2)</f>
        <v>364</v>
      </c>
      <c r="M173" s="3" t="n">
        <v>61.6</v>
      </c>
      <c r="N173" s="5" t="n">
        <f aca="false">IFERROR(ROUND(K173/M173,2),0)</f>
        <v>2.37</v>
      </c>
      <c r="O173" s="3" t="s">
        <v>31</v>
      </c>
    </row>
    <row r="174" customFormat="false" ht="15" hidden="false" customHeight="false" outlineLevel="0" collapsed="false">
      <c r="A174" s="3" t="s">
        <v>24</v>
      </c>
      <c r="B174" s="3" t="s">
        <v>16</v>
      </c>
      <c r="C174" s="3" t="s">
        <v>45</v>
      </c>
      <c r="D174" s="3" t="s">
        <v>46</v>
      </c>
      <c r="E174" s="3" t="s">
        <v>44</v>
      </c>
      <c r="F174" s="4" t="n">
        <v>35</v>
      </c>
      <c r="G174" s="3" t="n">
        <v>5.6</v>
      </c>
      <c r="H174" s="3" t="n">
        <v>31</v>
      </c>
      <c r="I174" s="3" t="n">
        <v>2</v>
      </c>
      <c r="J174" s="5" t="n">
        <f aca="false">H174-I174</f>
        <v>29</v>
      </c>
      <c r="K174" s="5" t="n">
        <f aca="false">ROUND(G174*J174,0)</f>
        <v>162</v>
      </c>
      <c r="L174" s="6" t="n">
        <f aca="false">ROUND(I174*G174*F174,2)</f>
        <v>392</v>
      </c>
      <c r="M174" s="3" t="n">
        <v>90.4</v>
      </c>
      <c r="N174" s="5" t="n">
        <f aca="false">IFERROR(ROUND(K174/M174,2),0)</f>
        <v>1.79</v>
      </c>
      <c r="O174" s="3" t="s">
        <v>31</v>
      </c>
    </row>
    <row r="175" customFormat="false" ht="15" hidden="false" customHeight="false" outlineLevel="0" collapsed="false">
      <c r="A175" s="3" t="s">
        <v>25</v>
      </c>
      <c r="B175" s="3" t="s">
        <v>16</v>
      </c>
      <c r="C175" s="3" t="s">
        <v>45</v>
      </c>
      <c r="D175" s="3" t="s">
        <v>46</v>
      </c>
      <c r="E175" s="3" t="s">
        <v>44</v>
      </c>
      <c r="F175" s="4" t="n">
        <v>35</v>
      </c>
      <c r="G175" s="3" t="n">
        <v>2.4</v>
      </c>
      <c r="H175" s="3" t="n">
        <v>30</v>
      </c>
      <c r="I175" s="3" t="n">
        <v>1</v>
      </c>
      <c r="J175" s="5" t="n">
        <f aca="false">H175-I175</f>
        <v>29</v>
      </c>
      <c r="K175" s="5" t="n">
        <f aca="false">ROUND(G175*J175,0)</f>
        <v>70</v>
      </c>
      <c r="L175" s="6" t="n">
        <f aca="false">ROUND(I175*G175*F175,2)</f>
        <v>84</v>
      </c>
      <c r="M175" s="3" t="n">
        <v>83.9</v>
      </c>
      <c r="N175" s="5" t="n">
        <f aca="false">IFERROR(ROUND(K175/M175,2),0)</f>
        <v>0.83</v>
      </c>
      <c r="O175" s="3" t="s">
        <v>31</v>
      </c>
    </row>
    <row r="176" customFormat="false" ht="15" hidden="false" customHeight="false" outlineLevel="0" collapsed="false">
      <c r="A176" s="3" t="s">
        <v>15</v>
      </c>
      <c r="B176" s="3" t="s">
        <v>26</v>
      </c>
      <c r="C176" s="3" t="s">
        <v>45</v>
      </c>
      <c r="D176" s="3" t="s">
        <v>46</v>
      </c>
      <c r="E176" s="3" t="s">
        <v>44</v>
      </c>
      <c r="F176" s="4" t="n">
        <v>35</v>
      </c>
      <c r="G176" s="3" t="n">
        <v>3.2</v>
      </c>
      <c r="H176" s="3" t="n">
        <v>31</v>
      </c>
      <c r="I176" s="3" t="n">
        <v>1</v>
      </c>
      <c r="J176" s="5" t="n">
        <f aca="false">H176-I176</f>
        <v>30</v>
      </c>
      <c r="K176" s="5" t="n">
        <f aca="false">ROUND(G176*J176,0)</f>
        <v>96</v>
      </c>
      <c r="L176" s="6" t="n">
        <f aca="false">ROUND(I176*G176*F176,2)</f>
        <v>112</v>
      </c>
      <c r="M176" s="3" t="n">
        <v>103.1</v>
      </c>
      <c r="N176" s="5" t="n">
        <f aca="false">IFERROR(ROUND(K176/M176,2),0)</f>
        <v>0.93</v>
      </c>
      <c r="O176" s="3" t="s">
        <v>31</v>
      </c>
    </row>
    <row r="177" customFormat="false" ht="15" hidden="false" customHeight="false" outlineLevel="0" collapsed="false">
      <c r="A177" s="3" t="s">
        <v>21</v>
      </c>
      <c r="B177" s="3" t="s">
        <v>26</v>
      </c>
      <c r="C177" s="3" t="s">
        <v>45</v>
      </c>
      <c r="D177" s="3" t="s">
        <v>46</v>
      </c>
      <c r="E177" s="3" t="s">
        <v>44</v>
      </c>
      <c r="F177" s="4" t="n">
        <v>35</v>
      </c>
      <c r="G177" s="3" t="n">
        <v>4.2</v>
      </c>
      <c r="H177" s="3" t="n">
        <v>28</v>
      </c>
      <c r="I177" s="3" t="n">
        <v>2</v>
      </c>
      <c r="J177" s="5" t="n">
        <f aca="false">H177-I177</f>
        <v>26</v>
      </c>
      <c r="K177" s="5" t="n">
        <f aca="false">ROUND(G177*J177,0)</f>
        <v>109</v>
      </c>
      <c r="L177" s="6" t="n">
        <f aca="false">ROUND(I177*G177*F177,2)</f>
        <v>294</v>
      </c>
      <c r="M177" s="3" t="n">
        <v>131.8</v>
      </c>
      <c r="N177" s="5" t="n">
        <f aca="false">IFERROR(ROUND(K177/M177,2),0)</f>
        <v>0.83</v>
      </c>
      <c r="O177" s="3" t="s">
        <v>31</v>
      </c>
    </row>
    <row r="178" customFormat="false" ht="15" hidden="false" customHeight="false" outlineLevel="0" collapsed="false">
      <c r="A178" s="3" t="s">
        <v>22</v>
      </c>
      <c r="B178" s="3" t="s">
        <v>26</v>
      </c>
      <c r="C178" s="3" t="s">
        <v>45</v>
      </c>
      <c r="D178" s="3" t="s">
        <v>46</v>
      </c>
      <c r="E178" s="3" t="s">
        <v>44</v>
      </c>
      <c r="F178" s="4" t="n">
        <v>35</v>
      </c>
      <c r="G178" s="3" t="n">
        <v>3.5</v>
      </c>
      <c r="H178" s="3" t="n">
        <v>31</v>
      </c>
      <c r="I178" s="3" t="n">
        <v>1</v>
      </c>
      <c r="J178" s="5" t="n">
        <f aca="false">H178-I178</f>
        <v>30</v>
      </c>
      <c r="K178" s="5" t="n">
        <f aca="false">ROUND(G178*J178,0)</f>
        <v>105</v>
      </c>
      <c r="L178" s="6" t="n">
        <f aca="false">ROUND(I178*G178*F178,2)</f>
        <v>122.5</v>
      </c>
      <c r="M178" s="3" t="n">
        <v>94.9</v>
      </c>
      <c r="N178" s="5" t="n">
        <f aca="false">IFERROR(ROUND(K178/M178,2),0)</f>
        <v>1.11</v>
      </c>
      <c r="O178" s="3" t="s">
        <v>31</v>
      </c>
    </row>
    <row r="179" customFormat="false" ht="15" hidden="false" customHeight="false" outlineLevel="0" collapsed="false">
      <c r="A179" s="3" t="s">
        <v>23</v>
      </c>
      <c r="B179" s="3" t="s">
        <v>26</v>
      </c>
      <c r="C179" s="3" t="s">
        <v>45</v>
      </c>
      <c r="D179" s="3" t="s">
        <v>46</v>
      </c>
      <c r="E179" s="3" t="s">
        <v>44</v>
      </c>
      <c r="F179" s="4" t="n">
        <v>35</v>
      </c>
      <c r="G179" s="3" t="n">
        <v>2.1</v>
      </c>
      <c r="H179" s="3" t="n">
        <v>30</v>
      </c>
      <c r="I179" s="3" t="n">
        <v>1</v>
      </c>
      <c r="J179" s="5" t="n">
        <f aca="false">H179-I179</f>
        <v>29</v>
      </c>
      <c r="K179" s="5" t="n">
        <f aca="false">ROUND(G179*J179,0)</f>
        <v>61</v>
      </c>
      <c r="L179" s="6" t="n">
        <f aca="false">ROUND(I179*G179*F179,2)</f>
        <v>73.5</v>
      </c>
      <c r="M179" s="3" t="n">
        <v>113.5</v>
      </c>
      <c r="N179" s="5" t="n">
        <f aca="false">IFERROR(ROUND(K179/M179,2),0)</f>
        <v>0.54</v>
      </c>
      <c r="O179" s="3" t="s">
        <v>31</v>
      </c>
    </row>
    <row r="180" customFormat="false" ht="15" hidden="false" customHeight="false" outlineLevel="0" collapsed="false">
      <c r="A180" s="3" t="s">
        <v>24</v>
      </c>
      <c r="B180" s="3" t="s">
        <v>26</v>
      </c>
      <c r="C180" s="3" t="s">
        <v>45</v>
      </c>
      <c r="D180" s="3" t="s">
        <v>46</v>
      </c>
      <c r="E180" s="3" t="s">
        <v>44</v>
      </c>
      <c r="F180" s="4" t="n">
        <v>35</v>
      </c>
      <c r="G180" s="3" t="n">
        <v>4.4</v>
      </c>
      <c r="H180" s="3" t="n">
        <v>31</v>
      </c>
      <c r="I180" s="3" t="n">
        <v>2</v>
      </c>
      <c r="J180" s="5" t="n">
        <f aca="false">H180-I180</f>
        <v>29</v>
      </c>
      <c r="K180" s="5" t="n">
        <f aca="false">ROUND(G180*J180,0)</f>
        <v>128</v>
      </c>
      <c r="L180" s="6" t="n">
        <f aca="false">ROUND(I180*G180*F180,2)</f>
        <v>308</v>
      </c>
      <c r="M180" s="3" t="n">
        <v>73.2</v>
      </c>
      <c r="N180" s="5" t="n">
        <f aca="false">IFERROR(ROUND(K180/M180,2),0)</f>
        <v>1.75</v>
      </c>
      <c r="O180" s="3" t="s">
        <v>31</v>
      </c>
    </row>
    <row r="181" customFormat="false" ht="15" hidden="false" customHeight="false" outlineLevel="0" collapsed="false">
      <c r="A181" s="3" t="s">
        <v>25</v>
      </c>
      <c r="B181" s="3" t="s">
        <v>26</v>
      </c>
      <c r="C181" s="3" t="s">
        <v>45</v>
      </c>
      <c r="D181" s="3" t="s">
        <v>46</v>
      </c>
      <c r="E181" s="3" t="s">
        <v>44</v>
      </c>
      <c r="F181" s="4" t="n">
        <v>35</v>
      </c>
      <c r="G181" s="3" t="n">
        <v>3.4</v>
      </c>
      <c r="H181" s="3" t="n">
        <v>30</v>
      </c>
      <c r="I181" s="3" t="n">
        <v>0</v>
      </c>
      <c r="J181" s="5" t="n">
        <f aca="false">H181-I181</f>
        <v>30</v>
      </c>
      <c r="K181" s="5" t="n">
        <f aca="false">ROUND(G181*J181,0)</f>
        <v>102</v>
      </c>
      <c r="L181" s="6" t="n">
        <f aca="false">ROUND(I181*G181*F181,2)</f>
        <v>0</v>
      </c>
      <c r="M181" s="3" t="n">
        <v>138.5</v>
      </c>
      <c r="N181" s="5" t="n">
        <f aca="false">IFERROR(ROUND(K181/M181,2),0)</f>
        <v>0.74</v>
      </c>
      <c r="O181" s="3" t="s">
        <v>31</v>
      </c>
    </row>
    <row r="182" customFormat="false" ht="15" hidden="false" customHeight="false" outlineLevel="0" collapsed="false">
      <c r="A182" s="3" t="s">
        <v>15</v>
      </c>
      <c r="B182" s="3" t="s">
        <v>27</v>
      </c>
      <c r="C182" s="3" t="s">
        <v>45</v>
      </c>
      <c r="D182" s="3" t="s">
        <v>46</v>
      </c>
      <c r="E182" s="3" t="s">
        <v>44</v>
      </c>
      <c r="F182" s="4" t="n">
        <v>35</v>
      </c>
      <c r="G182" s="3" t="n">
        <v>3.2</v>
      </c>
      <c r="H182" s="3" t="n">
        <v>31</v>
      </c>
      <c r="I182" s="3" t="n">
        <v>1</v>
      </c>
      <c r="J182" s="5" t="n">
        <f aca="false">H182-I182</f>
        <v>30</v>
      </c>
      <c r="K182" s="5" t="n">
        <f aca="false">ROUND(G182*J182,0)</f>
        <v>96</v>
      </c>
      <c r="L182" s="6" t="n">
        <f aca="false">ROUND(I182*G182*F182,2)</f>
        <v>112</v>
      </c>
      <c r="M182" s="3" t="n">
        <v>107.4</v>
      </c>
      <c r="N182" s="5" t="n">
        <f aca="false">IFERROR(ROUND(K182/M182,2),0)</f>
        <v>0.89</v>
      </c>
      <c r="O182" s="3" t="s">
        <v>31</v>
      </c>
    </row>
    <row r="183" customFormat="false" ht="15" hidden="false" customHeight="false" outlineLevel="0" collapsed="false">
      <c r="A183" s="3" t="s">
        <v>21</v>
      </c>
      <c r="B183" s="3" t="s">
        <v>27</v>
      </c>
      <c r="C183" s="3" t="s">
        <v>45</v>
      </c>
      <c r="D183" s="3" t="s">
        <v>46</v>
      </c>
      <c r="E183" s="3" t="s">
        <v>44</v>
      </c>
      <c r="F183" s="4" t="n">
        <v>35</v>
      </c>
      <c r="G183" s="3" t="n">
        <v>3.6</v>
      </c>
      <c r="H183" s="3" t="n">
        <v>28</v>
      </c>
      <c r="I183" s="3" t="n">
        <v>0</v>
      </c>
      <c r="J183" s="5" t="n">
        <f aca="false">H183-I183</f>
        <v>28</v>
      </c>
      <c r="K183" s="5" t="n">
        <f aca="false">ROUND(G183*J183,0)</f>
        <v>101</v>
      </c>
      <c r="L183" s="6" t="n">
        <f aca="false">ROUND(I183*G183*F183,2)</f>
        <v>0</v>
      </c>
      <c r="M183" s="3" t="n">
        <v>111.4</v>
      </c>
      <c r="N183" s="5" t="n">
        <f aca="false">IFERROR(ROUND(K183/M183,2),0)</f>
        <v>0.91</v>
      </c>
      <c r="O183" s="3" t="s">
        <v>31</v>
      </c>
    </row>
    <row r="184" customFormat="false" ht="15" hidden="false" customHeight="false" outlineLevel="0" collapsed="false">
      <c r="A184" s="3" t="s">
        <v>22</v>
      </c>
      <c r="B184" s="3" t="s">
        <v>27</v>
      </c>
      <c r="C184" s="3" t="s">
        <v>45</v>
      </c>
      <c r="D184" s="3" t="s">
        <v>46</v>
      </c>
      <c r="E184" s="3" t="s">
        <v>44</v>
      </c>
      <c r="F184" s="4" t="n">
        <v>35</v>
      </c>
      <c r="G184" s="3" t="n">
        <v>2.2</v>
      </c>
      <c r="H184" s="3" t="n">
        <v>31</v>
      </c>
      <c r="I184" s="3" t="n">
        <v>1</v>
      </c>
      <c r="J184" s="5" t="n">
        <f aca="false">H184-I184</f>
        <v>30</v>
      </c>
      <c r="K184" s="5" t="n">
        <f aca="false">ROUND(G184*J184,0)</f>
        <v>66</v>
      </c>
      <c r="L184" s="6" t="n">
        <f aca="false">ROUND(I184*G184*F184,2)</f>
        <v>77</v>
      </c>
      <c r="M184" s="3" t="n">
        <v>74.5</v>
      </c>
      <c r="N184" s="5" t="n">
        <f aca="false">IFERROR(ROUND(K184/M184,2),0)</f>
        <v>0.89</v>
      </c>
      <c r="O184" s="3" t="s">
        <v>31</v>
      </c>
    </row>
    <row r="185" customFormat="false" ht="15" hidden="false" customHeight="false" outlineLevel="0" collapsed="false">
      <c r="A185" s="3" t="s">
        <v>23</v>
      </c>
      <c r="B185" s="3" t="s">
        <v>27</v>
      </c>
      <c r="C185" s="3" t="s">
        <v>45</v>
      </c>
      <c r="D185" s="3" t="s">
        <v>46</v>
      </c>
      <c r="E185" s="3" t="s">
        <v>44</v>
      </c>
      <c r="F185" s="4" t="n">
        <v>35</v>
      </c>
      <c r="G185" s="3" t="n">
        <v>2.5</v>
      </c>
      <c r="H185" s="3" t="n">
        <v>30</v>
      </c>
      <c r="I185" s="3" t="n">
        <v>1</v>
      </c>
      <c r="J185" s="5" t="n">
        <f aca="false">H185-I185</f>
        <v>29</v>
      </c>
      <c r="K185" s="5" t="n">
        <f aca="false">ROUND(G185*J185,0)</f>
        <v>73</v>
      </c>
      <c r="L185" s="6" t="n">
        <f aca="false">ROUND(I185*G185*F185,2)</f>
        <v>87.5</v>
      </c>
      <c r="M185" s="3" t="n">
        <v>76.9</v>
      </c>
      <c r="N185" s="5" t="n">
        <f aca="false">IFERROR(ROUND(K185/M185,2),0)</f>
        <v>0.95</v>
      </c>
      <c r="O185" s="3" t="s">
        <v>31</v>
      </c>
    </row>
    <row r="186" customFormat="false" ht="15" hidden="false" customHeight="false" outlineLevel="0" collapsed="false">
      <c r="A186" s="3" t="s">
        <v>24</v>
      </c>
      <c r="B186" s="3" t="s">
        <v>27</v>
      </c>
      <c r="C186" s="3" t="s">
        <v>45</v>
      </c>
      <c r="D186" s="3" t="s">
        <v>46</v>
      </c>
      <c r="E186" s="3" t="s">
        <v>44</v>
      </c>
      <c r="F186" s="4" t="n">
        <v>35</v>
      </c>
      <c r="G186" s="3" t="n">
        <v>2.7</v>
      </c>
      <c r="H186" s="3" t="n">
        <v>31</v>
      </c>
      <c r="I186" s="3" t="n">
        <v>1</v>
      </c>
      <c r="J186" s="5" t="n">
        <f aca="false">H186-I186</f>
        <v>30</v>
      </c>
      <c r="K186" s="5" t="n">
        <f aca="false">ROUND(G186*J186,0)</f>
        <v>81</v>
      </c>
      <c r="L186" s="6" t="n">
        <f aca="false">ROUND(I186*G186*F186,2)</f>
        <v>94.5</v>
      </c>
      <c r="M186" s="3" t="n">
        <v>82.3</v>
      </c>
      <c r="N186" s="5" t="n">
        <f aca="false">IFERROR(ROUND(K186/M186,2),0)</f>
        <v>0.98</v>
      </c>
      <c r="O186" s="3" t="s">
        <v>31</v>
      </c>
    </row>
    <row r="187" customFormat="false" ht="15" hidden="false" customHeight="false" outlineLevel="0" collapsed="false">
      <c r="A187" s="3" t="s">
        <v>25</v>
      </c>
      <c r="B187" s="3" t="s">
        <v>27</v>
      </c>
      <c r="C187" s="3" t="s">
        <v>45</v>
      </c>
      <c r="D187" s="3" t="s">
        <v>46</v>
      </c>
      <c r="E187" s="3" t="s">
        <v>44</v>
      </c>
      <c r="F187" s="4" t="n">
        <v>35</v>
      </c>
      <c r="G187" s="3" t="n">
        <v>4.4</v>
      </c>
      <c r="H187" s="3" t="n">
        <v>30</v>
      </c>
      <c r="I187" s="3" t="n">
        <v>1</v>
      </c>
      <c r="J187" s="5" t="n">
        <f aca="false">H187-I187</f>
        <v>29</v>
      </c>
      <c r="K187" s="5" t="n">
        <f aca="false">ROUND(G187*J187,0)</f>
        <v>128</v>
      </c>
      <c r="L187" s="6" t="n">
        <f aca="false">ROUND(I187*G187*F187,2)</f>
        <v>154</v>
      </c>
      <c r="M187" s="3" t="n">
        <v>80.2</v>
      </c>
      <c r="N187" s="5" t="n">
        <f aca="false">IFERROR(ROUND(K187/M187,2),0)</f>
        <v>1.6</v>
      </c>
      <c r="O187" s="3" t="s">
        <v>31</v>
      </c>
    </row>
    <row r="188" customFormat="false" ht="15" hidden="false" customHeight="false" outlineLevel="0" collapsed="false">
      <c r="A188" s="3" t="s">
        <v>15</v>
      </c>
      <c r="B188" s="3" t="s">
        <v>28</v>
      </c>
      <c r="C188" s="3" t="s">
        <v>45</v>
      </c>
      <c r="D188" s="3" t="s">
        <v>46</v>
      </c>
      <c r="E188" s="3" t="s">
        <v>44</v>
      </c>
      <c r="F188" s="4" t="n">
        <v>35</v>
      </c>
      <c r="G188" s="3" t="n">
        <v>1.8</v>
      </c>
      <c r="H188" s="3" t="n">
        <v>31</v>
      </c>
      <c r="I188" s="3" t="n">
        <v>0</v>
      </c>
      <c r="J188" s="5" t="n">
        <f aca="false">H188-I188</f>
        <v>31</v>
      </c>
      <c r="K188" s="5" t="n">
        <f aca="false">ROUND(G188*J188,0)</f>
        <v>56</v>
      </c>
      <c r="L188" s="6" t="n">
        <f aca="false">ROUND(I188*G188*F188,2)</f>
        <v>0</v>
      </c>
      <c r="M188" s="3" t="n">
        <v>119.9</v>
      </c>
      <c r="N188" s="5" t="n">
        <f aca="false">IFERROR(ROUND(K188/M188,2),0)</f>
        <v>0.47</v>
      </c>
      <c r="O188" s="3" t="s">
        <v>31</v>
      </c>
    </row>
    <row r="189" customFormat="false" ht="15" hidden="false" customHeight="false" outlineLevel="0" collapsed="false">
      <c r="A189" s="3" t="s">
        <v>21</v>
      </c>
      <c r="B189" s="3" t="s">
        <v>28</v>
      </c>
      <c r="C189" s="3" t="s">
        <v>45</v>
      </c>
      <c r="D189" s="3" t="s">
        <v>46</v>
      </c>
      <c r="E189" s="3" t="s">
        <v>44</v>
      </c>
      <c r="F189" s="4" t="n">
        <v>35</v>
      </c>
      <c r="G189" s="3" t="n">
        <v>1.7</v>
      </c>
      <c r="H189" s="3" t="n">
        <v>28</v>
      </c>
      <c r="I189" s="3" t="n">
        <v>1</v>
      </c>
      <c r="J189" s="5" t="n">
        <f aca="false">H189-I189</f>
        <v>27</v>
      </c>
      <c r="K189" s="5" t="n">
        <f aca="false">ROUND(G189*J189,0)</f>
        <v>46</v>
      </c>
      <c r="L189" s="6" t="n">
        <f aca="false">ROUND(I189*G189*F189,2)</f>
        <v>59.5</v>
      </c>
      <c r="M189" s="3" t="n">
        <v>77.9</v>
      </c>
      <c r="N189" s="5" t="n">
        <f aca="false">IFERROR(ROUND(K189/M189,2),0)</f>
        <v>0.59</v>
      </c>
      <c r="O189" s="3" t="s">
        <v>31</v>
      </c>
    </row>
    <row r="190" customFormat="false" ht="15" hidden="false" customHeight="false" outlineLevel="0" collapsed="false">
      <c r="A190" s="3" t="s">
        <v>22</v>
      </c>
      <c r="B190" s="3" t="s">
        <v>28</v>
      </c>
      <c r="C190" s="3" t="s">
        <v>45</v>
      </c>
      <c r="D190" s="3" t="s">
        <v>46</v>
      </c>
      <c r="E190" s="3" t="s">
        <v>44</v>
      </c>
      <c r="F190" s="4" t="n">
        <v>35</v>
      </c>
      <c r="G190" s="3" t="n">
        <v>1.8</v>
      </c>
      <c r="H190" s="3" t="n">
        <v>31</v>
      </c>
      <c r="I190" s="3" t="n">
        <v>2</v>
      </c>
      <c r="J190" s="5" t="n">
        <f aca="false">H190-I190</f>
        <v>29</v>
      </c>
      <c r="K190" s="5" t="n">
        <f aca="false">ROUND(G190*J190,0)</f>
        <v>52</v>
      </c>
      <c r="L190" s="6" t="n">
        <f aca="false">ROUND(I190*G190*F190,2)</f>
        <v>126</v>
      </c>
      <c r="M190" s="3" t="n">
        <v>63.2</v>
      </c>
      <c r="N190" s="5" t="n">
        <f aca="false">IFERROR(ROUND(K190/M190,2),0)</f>
        <v>0.82</v>
      </c>
      <c r="O190" s="3" t="s">
        <v>31</v>
      </c>
    </row>
    <row r="191" customFormat="false" ht="15" hidden="false" customHeight="false" outlineLevel="0" collapsed="false">
      <c r="A191" s="3" t="s">
        <v>23</v>
      </c>
      <c r="B191" s="3" t="s">
        <v>28</v>
      </c>
      <c r="C191" s="3" t="s">
        <v>45</v>
      </c>
      <c r="D191" s="3" t="s">
        <v>46</v>
      </c>
      <c r="E191" s="3" t="s">
        <v>44</v>
      </c>
      <c r="F191" s="4" t="n">
        <v>35</v>
      </c>
      <c r="G191" s="3" t="n">
        <v>1.7</v>
      </c>
      <c r="H191" s="3" t="n">
        <v>30</v>
      </c>
      <c r="I191" s="3" t="n">
        <v>0</v>
      </c>
      <c r="J191" s="5" t="n">
        <f aca="false">H191-I191</f>
        <v>30</v>
      </c>
      <c r="K191" s="5" t="n">
        <f aca="false">ROUND(G191*J191,0)</f>
        <v>51</v>
      </c>
      <c r="L191" s="6" t="n">
        <f aca="false">ROUND(I191*G191*F191,2)</f>
        <v>0</v>
      </c>
      <c r="M191" s="3" t="n">
        <v>75.9</v>
      </c>
      <c r="N191" s="5" t="n">
        <f aca="false">IFERROR(ROUND(K191/M191,2),0)</f>
        <v>0.67</v>
      </c>
      <c r="O191" s="3" t="s">
        <v>31</v>
      </c>
    </row>
    <row r="192" customFormat="false" ht="15" hidden="false" customHeight="false" outlineLevel="0" collapsed="false">
      <c r="A192" s="3" t="s">
        <v>24</v>
      </c>
      <c r="B192" s="3" t="s">
        <v>28</v>
      </c>
      <c r="C192" s="3" t="s">
        <v>45</v>
      </c>
      <c r="D192" s="3" t="s">
        <v>46</v>
      </c>
      <c r="E192" s="3" t="s">
        <v>44</v>
      </c>
      <c r="F192" s="4" t="n">
        <v>35</v>
      </c>
      <c r="G192" s="3" t="n">
        <v>1.6</v>
      </c>
      <c r="H192" s="3" t="n">
        <v>31</v>
      </c>
      <c r="I192" s="3" t="n">
        <v>0</v>
      </c>
      <c r="J192" s="5" t="n">
        <f aca="false">H192-I192</f>
        <v>31</v>
      </c>
      <c r="K192" s="5" t="n">
        <f aca="false">ROUND(G192*J192,0)</f>
        <v>50</v>
      </c>
      <c r="L192" s="6" t="n">
        <f aca="false">ROUND(I192*G192*F192,2)</f>
        <v>0</v>
      </c>
      <c r="M192" s="3" t="n">
        <v>79.1</v>
      </c>
      <c r="N192" s="5" t="n">
        <f aca="false">IFERROR(ROUND(K192/M192,2),0)</f>
        <v>0.63</v>
      </c>
      <c r="O192" s="3" t="s">
        <v>31</v>
      </c>
    </row>
    <row r="193" customFormat="false" ht="15" hidden="false" customHeight="false" outlineLevel="0" collapsed="false">
      <c r="A193" s="3" t="s">
        <v>25</v>
      </c>
      <c r="B193" s="3" t="s">
        <v>28</v>
      </c>
      <c r="C193" s="3" t="s">
        <v>45</v>
      </c>
      <c r="D193" s="3" t="s">
        <v>46</v>
      </c>
      <c r="E193" s="3" t="s">
        <v>44</v>
      </c>
      <c r="F193" s="4" t="n">
        <v>35</v>
      </c>
      <c r="G193" s="3" t="n">
        <v>2.7</v>
      </c>
      <c r="H193" s="3" t="n">
        <v>30</v>
      </c>
      <c r="I193" s="3" t="n">
        <v>0</v>
      </c>
      <c r="J193" s="5" t="n">
        <f aca="false">H193-I193</f>
        <v>30</v>
      </c>
      <c r="K193" s="5" t="n">
        <f aca="false">ROUND(G193*J193,0)</f>
        <v>81</v>
      </c>
      <c r="L193" s="6" t="n">
        <f aca="false">ROUND(I193*G193*F193,2)</f>
        <v>0</v>
      </c>
      <c r="M193" s="3" t="n">
        <v>105.1</v>
      </c>
      <c r="N193" s="5" t="n">
        <f aca="false">IFERROR(ROUND(K193/M193,2),0)</f>
        <v>0.77</v>
      </c>
      <c r="O193" s="3" t="s">
        <v>31</v>
      </c>
    </row>
    <row r="194" customFormat="false" ht="15" hidden="false" customHeight="false" outlineLevel="0" collapsed="false">
      <c r="A194" s="3" t="s">
        <v>15</v>
      </c>
      <c r="B194" s="3" t="s">
        <v>16</v>
      </c>
      <c r="C194" s="3" t="s">
        <v>47</v>
      </c>
      <c r="D194" s="3" t="s">
        <v>48</v>
      </c>
      <c r="E194" s="3" t="s">
        <v>49</v>
      </c>
      <c r="F194" s="4" t="n">
        <v>55</v>
      </c>
      <c r="G194" s="3" t="n">
        <v>11.2</v>
      </c>
      <c r="H194" s="3" t="n">
        <v>31</v>
      </c>
      <c r="I194" s="3" t="n">
        <v>8</v>
      </c>
      <c r="J194" s="5" t="n">
        <f aca="false">H194-I194</f>
        <v>23</v>
      </c>
      <c r="K194" s="5" t="n">
        <f aca="false">ROUND(G194*J194,0)</f>
        <v>258</v>
      </c>
      <c r="L194" s="6" t="n">
        <f aca="false">ROUND(I194*G194*F194,2)</f>
        <v>4928</v>
      </c>
      <c r="M194" s="3" t="n">
        <v>34.2</v>
      </c>
      <c r="N194" s="5" t="n">
        <f aca="false">IFERROR(ROUND(K194/M194,2),0)</f>
        <v>7.54</v>
      </c>
      <c r="O194" s="3" t="s">
        <v>20</v>
      </c>
    </row>
    <row r="195" customFormat="false" ht="15" hidden="false" customHeight="false" outlineLevel="0" collapsed="false">
      <c r="A195" s="3" t="s">
        <v>21</v>
      </c>
      <c r="B195" s="3" t="s">
        <v>16</v>
      </c>
      <c r="C195" s="3" t="s">
        <v>47</v>
      </c>
      <c r="D195" s="3" t="s">
        <v>48</v>
      </c>
      <c r="E195" s="3" t="s">
        <v>49</v>
      </c>
      <c r="F195" s="4" t="n">
        <v>55</v>
      </c>
      <c r="G195" s="3" t="n">
        <v>10.8</v>
      </c>
      <c r="H195" s="3" t="n">
        <v>28</v>
      </c>
      <c r="I195" s="3" t="n">
        <v>5</v>
      </c>
      <c r="J195" s="5" t="n">
        <f aca="false">H195-I195</f>
        <v>23</v>
      </c>
      <c r="K195" s="5" t="n">
        <f aca="false">ROUND(G195*J195,0)</f>
        <v>248</v>
      </c>
      <c r="L195" s="6" t="n">
        <f aca="false">ROUND(I195*G195*F195,2)</f>
        <v>2970</v>
      </c>
      <c r="M195" s="3" t="n">
        <v>34.4</v>
      </c>
      <c r="N195" s="5" t="n">
        <f aca="false">IFERROR(ROUND(K195/M195,2),0)</f>
        <v>7.21</v>
      </c>
      <c r="O195" s="3" t="s">
        <v>20</v>
      </c>
    </row>
    <row r="196" customFormat="false" ht="15" hidden="false" customHeight="false" outlineLevel="0" collapsed="false">
      <c r="A196" s="3" t="s">
        <v>22</v>
      </c>
      <c r="B196" s="3" t="s">
        <v>16</v>
      </c>
      <c r="C196" s="3" t="s">
        <v>47</v>
      </c>
      <c r="D196" s="3" t="s">
        <v>48</v>
      </c>
      <c r="E196" s="3" t="s">
        <v>49</v>
      </c>
      <c r="F196" s="4" t="n">
        <v>55</v>
      </c>
      <c r="G196" s="3" t="n">
        <v>10.8</v>
      </c>
      <c r="H196" s="3" t="n">
        <v>31</v>
      </c>
      <c r="I196" s="3" t="n">
        <v>8</v>
      </c>
      <c r="J196" s="5" t="n">
        <f aca="false">H196-I196</f>
        <v>23</v>
      </c>
      <c r="K196" s="5" t="n">
        <f aca="false">ROUND(G196*J196,0)</f>
        <v>248</v>
      </c>
      <c r="L196" s="6" t="n">
        <f aca="false">ROUND(I196*G196*F196,2)</f>
        <v>4752</v>
      </c>
      <c r="M196" s="3" t="n">
        <v>17.7</v>
      </c>
      <c r="N196" s="5" t="n">
        <f aca="false">IFERROR(ROUND(K196/M196,2),0)</f>
        <v>14.01</v>
      </c>
      <c r="O196" s="3" t="s">
        <v>20</v>
      </c>
    </row>
    <row r="197" customFormat="false" ht="15" hidden="false" customHeight="false" outlineLevel="0" collapsed="false">
      <c r="A197" s="3" t="s">
        <v>23</v>
      </c>
      <c r="B197" s="3" t="s">
        <v>16</v>
      </c>
      <c r="C197" s="3" t="s">
        <v>47</v>
      </c>
      <c r="D197" s="3" t="s">
        <v>48</v>
      </c>
      <c r="E197" s="3" t="s">
        <v>49</v>
      </c>
      <c r="F197" s="4" t="n">
        <v>55</v>
      </c>
      <c r="G197" s="3" t="n">
        <v>9.8</v>
      </c>
      <c r="H197" s="3" t="n">
        <v>30</v>
      </c>
      <c r="I197" s="3" t="n">
        <v>8</v>
      </c>
      <c r="J197" s="5" t="n">
        <f aca="false">H197-I197</f>
        <v>22</v>
      </c>
      <c r="K197" s="5" t="n">
        <f aca="false">ROUND(G197*J197,0)</f>
        <v>216</v>
      </c>
      <c r="L197" s="6" t="n">
        <f aca="false">ROUND(I197*G197*F197,2)</f>
        <v>4312</v>
      </c>
      <c r="M197" s="3" t="n">
        <v>29.4</v>
      </c>
      <c r="N197" s="5" t="n">
        <f aca="false">IFERROR(ROUND(K197/M197,2),0)</f>
        <v>7.35</v>
      </c>
      <c r="O197" s="3" t="s">
        <v>20</v>
      </c>
    </row>
    <row r="198" customFormat="false" ht="15" hidden="false" customHeight="false" outlineLevel="0" collapsed="false">
      <c r="A198" s="3" t="s">
        <v>24</v>
      </c>
      <c r="B198" s="3" t="s">
        <v>16</v>
      </c>
      <c r="C198" s="3" t="s">
        <v>47</v>
      </c>
      <c r="D198" s="3" t="s">
        <v>48</v>
      </c>
      <c r="E198" s="3" t="s">
        <v>49</v>
      </c>
      <c r="F198" s="4" t="n">
        <v>55</v>
      </c>
      <c r="G198" s="3" t="n">
        <v>16.1</v>
      </c>
      <c r="H198" s="3" t="n">
        <v>31</v>
      </c>
      <c r="I198" s="3" t="n">
        <v>10</v>
      </c>
      <c r="J198" s="5" t="n">
        <f aca="false">H198-I198</f>
        <v>21</v>
      </c>
      <c r="K198" s="5" t="n">
        <f aca="false">ROUND(G198*J198,0)</f>
        <v>338</v>
      </c>
      <c r="L198" s="6" t="n">
        <f aca="false">ROUND(I198*G198*F198,2)</f>
        <v>8855</v>
      </c>
      <c r="M198" s="3" t="n">
        <v>24.9</v>
      </c>
      <c r="N198" s="5" t="n">
        <f aca="false">IFERROR(ROUND(K198/M198,2),0)</f>
        <v>13.57</v>
      </c>
      <c r="O198" s="3" t="s">
        <v>20</v>
      </c>
    </row>
    <row r="199" customFormat="false" ht="15" hidden="false" customHeight="false" outlineLevel="0" collapsed="false">
      <c r="A199" s="3" t="s">
        <v>25</v>
      </c>
      <c r="B199" s="3" t="s">
        <v>16</v>
      </c>
      <c r="C199" s="3" t="s">
        <v>47</v>
      </c>
      <c r="D199" s="3" t="s">
        <v>48</v>
      </c>
      <c r="E199" s="3" t="s">
        <v>49</v>
      </c>
      <c r="F199" s="4" t="n">
        <v>55</v>
      </c>
      <c r="G199" s="3" t="n">
        <v>14.7</v>
      </c>
      <c r="H199" s="3" t="n">
        <v>30</v>
      </c>
      <c r="I199" s="3" t="n">
        <v>5</v>
      </c>
      <c r="J199" s="5" t="n">
        <f aca="false">H199-I199</f>
        <v>25</v>
      </c>
      <c r="K199" s="5" t="n">
        <f aca="false">ROUND(G199*J199,0)</f>
        <v>368</v>
      </c>
      <c r="L199" s="6" t="n">
        <f aca="false">ROUND(I199*G199*F199,2)</f>
        <v>4042.5</v>
      </c>
      <c r="M199" s="3" t="n">
        <v>29.8</v>
      </c>
      <c r="N199" s="5" t="n">
        <f aca="false">IFERROR(ROUND(K199/M199,2),0)</f>
        <v>12.35</v>
      </c>
      <c r="O199" s="3" t="s">
        <v>20</v>
      </c>
    </row>
    <row r="200" customFormat="false" ht="15" hidden="false" customHeight="false" outlineLevel="0" collapsed="false">
      <c r="A200" s="3" t="s">
        <v>15</v>
      </c>
      <c r="B200" s="3" t="s">
        <v>26</v>
      </c>
      <c r="C200" s="3" t="s">
        <v>47</v>
      </c>
      <c r="D200" s="3" t="s">
        <v>48</v>
      </c>
      <c r="E200" s="3" t="s">
        <v>49</v>
      </c>
      <c r="F200" s="4" t="n">
        <v>55</v>
      </c>
      <c r="G200" s="3" t="n">
        <v>13</v>
      </c>
      <c r="H200" s="3" t="n">
        <v>31</v>
      </c>
      <c r="I200" s="3" t="n">
        <v>7</v>
      </c>
      <c r="J200" s="5" t="n">
        <f aca="false">H200-I200</f>
        <v>24</v>
      </c>
      <c r="K200" s="5" t="n">
        <f aca="false">ROUND(G200*J200,0)</f>
        <v>312</v>
      </c>
      <c r="L200" s="6" t="n">
        <f aca="false">ROUND(I200*G200*F200,2)</f>
        <v>5005</v>
      </c>
      <c r="M200" s="3" t="n">
        <v>17.5</v>
      </c>
      <c r="N200" s="5" t="n">
        <f aca="false">IFERROR(ROUND(K200/M200,2),0)</f>
        <v>17.83</v>
      </c>
      <c r="O200" s="3" t="s">
        <v>20</v>
      </c>
    </row>
    <row r="201" customFormat="false" ht="15" hidden="false" customHeight="false" outlineLevel="0" collapsed="false">
      <c r="A201" s="3" t="s">
        <v>21</v>
      </c>
      <c r="B201" s="3" t="s">
        <v>26</v>
      </c>
      <c r="C201" s="3" t="s">
        <v>47</v>
      </c>
      <c r="D201" s="3" t="s">
        <v>48</v>
      </c>
      <c r="E201" s="3" t="s">
        <v>49</v>
      </c>
      <c r="F201" s="4" t="n">
        <v>55</v>
      </c>
      <c r="G201" s="3" t="n">
        <v>12.6</v>
      </c>
      <c r="H201" s="3" t="n">
        <v>28</v>
      </c>
      <c r="I201" s="3" t="n">
        <v>5</v>
      </c>
      <c r="J201" s="5" t="n">
        <f aca="false">H201-I201</f>
        <v>23</v>
      </c>
      <c r="K201" s="5" t="n">
        <f aca="false">ROUND(G201*J201,0)</f>
        <v>290</v>
      </c>
      <c r="L201" s="6" t="n">
        <f aca="false">ROUND(I201*G201*F201,2)</f>
        <v>3465</v>
      </c>
      <c r="M201" s="3" t="n">
        <v>34.9</v>
      </c>
      <c r="N201" s="5" t="n">
        <f aca="false">IFERROR(ROUND(K201/M201,2),0)</f>
        <v>8.31</v>
      </c>
      <c r="O201" s="3" t="s">
        <v>20</v>
      </c>
    </row>
    <row r="202" customFormat="false" ht="15" hidden="false" customHeight="false" outlineLevel="0" collapsed="false">
      <c r="A202" s="3" t="s">
        <v>22</v>
      </c>
      <c r="B202" s="3" t="s">
        <v>26</v>
      </c>
      <c r="C202" s="3" t="s">
        <v>47</v>
      </c>
      <c r="D202" s="3" t="s">
        <v>48</v>
      </c>
      <c r="E202" s="3" t="s">
        <v>49</v>
      </c>
      <c r="F202" s="4" t="n">
        <v>55</v>
      </c>
      <c r="G202" s="3" t="n">
        <v>11.4</v>
      </c>
      <c r="H202" s="3" t="n">
        <v>31</v>
      </c>
      <c r="I202" s="3" t="n">
        <v>4</v>
      </c>
      <c r="J202" s="5" t="n">
        <f aca="false">H202-I202</f>
        <v>27</v>
      </c>
      <c r="K202" s="5" t="n">
        <f aca="false">ROUND(G202*J202,0)</f>
        <v>308</v>
      </c>
      <c r="L202" s="6" t="n">
        <f aca="false">ROUND(I202*G202*F202,2)</f>
        <v>2508</v>
      </c>
      <c r="M202" s="3" t="n">
        <v>23.7</v>
      </c>
      <c r="N202" s="5" t="n">
        <f aca="false">IFERROR(ROUND(K202/M202,2),0)</f>
        <v>13</v>
      </c>
      <c r="O202" s="3" t="s">
        <v>20</v>
      </c>
    </row>
    <row r="203" customFormat="false" ht="15" hidden="false" customHeight="false" outlineLevel="0" collapsed="false">
      <c r="A203" s="3" t="s">
        <v>23</v>
      </c>
      <c r="B203" s="3" t="s">
        <v>26</v>
      </c>
      <c r="C203" s="3" t="s">
        <v>47</v>
      </c>
      <c r="D203" s="3" t="s">
        <v>48</v>
      </c>
      <c r="E203" s="3" t="s">
        <v>49</v>
      </c>
      <c r="F203" s="4" t="n">
        <v>55</v>
      </c>
      <c r="G203" s="3" t="n">
        <v>10.6</v>
      </c>
      <c r="H203" s="3" t="n">
        <v>30</v>
      </c>
      <c r="I203" s="3" t="n">
        <v>9</v>
      </c>
      <c r="J203" s="5" t="n">
        <f aca="false">H203-I203</f>
        <v>21</v>
      </c>
      <c r="K203" s="5" t="n">
        <f aca="false">ROUND(G203*J203,0)</f>
        <v>223</v>
      </c>
      <c r="L203" s="6" t="n">
        <f aca="false">ROUND(I203*G203*F203,2)</f>
        <v>5247</v>
      </c>
      <c r="M203" s="3" t="n">
        <v>16.7</v>
      </c>
      <c r="N203" s="5" t="n">
        <f aca="false">IFERROR(ROUND(K203/M203,2),0)</f>
        <v>13.35</v>
      </c>
      <c r="O203" s="3" t="s">
        <v>20</v>
      </c>
    </row>
    <row r="204" customFormat="false" ht="15" hidden="false" customHeight="false" outlineLevel="0" collapsed="false">
      <c r="A204" s="3" t="s">
        <v>24</v>
      </c>
      <c r="B204" s="3" t="s">
        <v>26</v>
      </c>
      <c r="C204" s="3" t="s">
        <v>47</v>
      </c>
      <c r="D204" s="3" t="s">
        <v>48</v>
      </c>
      <c r="E204" s="3" t="s">
        <v>49</v>
      </c>
      <c r="F204" s="4" t="n">
        <v>55</v>
      </c>
      <c r="G204" s="3" t="n">
        <v>11.9</v>
      </c>
      <c r="H204" s="3" t="n">
        <v>31</v>
      </c>
      <c r="I204" s="3" t="n">
        <v>4</v>
      </c>
      <c r="J204" s="5" t="n">
        <f aca="false">H204-I204</f>
        <v>27</v>
      </c>
      <c r="K204" s="5" t="n">
        <f aca="false">ROUND(G204*J204,0)</f>
        <v>321</v>
      </c>
      <c r="L204" s="6" t="n">
        <f aca="false">ROUND(I204*G204*F204,2)</f>
        <v>2618</v>
      </c>
      <c r="M204" s="3" t="n">
        <v>36.2</v>
      </c>
      <c r="N204" s="5" t="n">
        <f aca="false">IFERROR(ROUND(K204/M204,2),0)</f>
        <v>8.87</v>
      </c>
      <c r="O204" s="3" t="s">
        <v>20</v>
      </c>
    </row>
    <row r="205" customFormat="false" ht="15" hidden="false" customHeight="false" outlineLevel="0" collapsed="false">
      <c r="A205" s="3" t="s">
        <v>25</v>
      </c>
      <c r="B205" s="3" t="s">
        <v>26</v>
      </c>
      <c r="C205" s="3" t="s">
        <v>47</v>
      </c>
      <c r="D205" s="3" t="s">
        <v>48</v>
      </c>
      <c r="E205" s="3" t="s">
        <v>49</v>
      </c>
      <c r="F205" s="4" t="n">
        <v>55</v>
      </c>
      <c r="G205" s="3" t="n">
        <v>12.9</v>
      </c>
      <c r="H205" s="3" t="n">
        <v>30</v>
      </c>
      <c r="I205" s="3" t="n">
        <v>5</v>
      </c>
      <c r="J205" s="5" t="n">
        <f aca="false">H205-I205</f>
        <v>25</v>
      </c>
      <c r="K205" s="5" t="n">
        <f aca="false">ROUND(G205*J205,0)</f>
        <v>323</v>
      </c>
      <c r="L205" s="6" t="n">
        <f aca="false">ROUND(I205*G205*F205,2)</f>
        <v>3547.5</v>
      </c>
      <c r="M205" s="3" t="n">
        <v>25.8</v>
      </c>
      <c r="N205" s="5" t="n">
        <f aca="false">IFERROR(ROUND(K205/M205,2),0)</f>
        <v>12.52</v>
      </c>
      <c r="O205" s="3" t="s">
        <v>20</v>
      </c>
    </row>
    <row r="206" customFormat="false" ht="15" hidden="false" customHeight="false" outlineLevel="0" collapsed="false">
      <c r="A206" s="3" t="s">
        <v>15</v>
      </c>
      <c r="B206" s="3" t="s">
        <v>27</v>
      </c>
      <c r="C206" s="3" t="s">
        <v>47</v>
      </c>
      <c r="D206" s="3" t="s">
        <v>48</v>
      </c>
      <c r="E206" s="3" t="s">
        <v>49</v>
      </c>
      <c r="F206" s="4" t="n">
        <v>55</v>
      </c>
      <c r="G206" s="3" t="n">
        <v>9.2</v>
      </c>
      <c r="H206" s="3" t="n">
        <v>31</v>
      </c>
      <c r="I206" s="3" t="n">
        <v>11</v>
      </c>
      <c r="J206" s="5" t="n">
        <f aca="false">H206-I206</f>
        <v>20</v>
      </c>
      <c r="K206" s="5" t="n">
        <f aca="false">ROUND(G206*J206,0)</f>
        <v>184</v>
      </c>
      <c r="L206" s="6" t="n">
        <f aca="false">ROUND(I206*G206*F206,2)</f>
        <v>5566</v>
      </c>
      <c r="M206" s="3" t="n">
        <v>32.7</v>
      </c>
      <c r="N206" s="5" t="n">
        <f aca="false">IFERROR(ROUND(K206/M206,2),0)</f>
        <v>5.63</v>
      </c>
      <c r="O206" s="3" t="s">
        <v>20</v>
      </c>
    </row>
    <row r="207" customFormat="false" ht="15" hidden="false" customHeight="false" outlineLevel="0" collapsed="false">
      <c r="A207" s="3" t="s">
        <v>21</v>
      </c>
      <c r="B207" s="3" t="s">
        <v>27</v>
      </c>
      <c r="C207" s="3" t="s">
        <v>47</v>
      </c>
      <c r="D207" s="3" t="s">
        <v>48</v>
      </c>
      <c r="E207" s="3" t="s">
        <v>49</v>
      </c>
      <c r="F207" s="4" t="n">
        <v>55</v>
      </c>
      <c r="G207" s="3" t="n">
        <v>9.6</v>
      </c>
      <c r="H207" s="3" t="n">
        <v>28</v>
      </c>
      <c r="I207" s="3" t="n">
        <v>12</v>
      </c>
      <c r="J207" s="5" t="n">
        <f aca="false">H207-I207</f>
        <v>16</v>
      </c>
      <c r="K207" s="5" t="n">
        <f aca="false">ROUND(G207*J207,0)</f>
        <v>154</v>
      </c>
      <c r="L207" s="6" t="n">
        <f aca="false">ROUND(I207*G207*F207,2)</f>
        <v>6336</v>
      </c>
      <c r="M207" s="3" t="n">
        <v>39.1</v>
      </c>
      <c r="N207" s="5" t="n">
        <f aca="false">IFERROR(ROUND(K207/M207,2),0)</f>
        <v>3.94</v>
      </c>
      <c r="O207" s="3" t="s">
        <v>20</v>
      </c>
    </row>
    <row r="208" customFormat="false" ht="15" hidden="false" customHeight="false" outlineLevel="0" collapsed="false">
      <c r="A208" s="3" t="s">
        <v>22</v>
      </c>
      <c r="B208" s="3" t="s">
        <v>27</v>
      </c>
      <c r="C208" s="3" t="s">
        <v>47</v>
      </c>
      <c r="D208" s="3" t="s">
        <v>48</v>
      </c>
      <c r="E208" s="3" t="s">
        <v>49</v>
      </c>
      <c r="F208" s="4" t="n">
        <v>55</v>
      </c>
      <c r="G208" s="3" t="n">
        <v>8.7</v>
      </c>
      <c r="H208" s="3" t="n">
        <v>31</v>
      </c>
      <c r="I208" s="3" t="n">
        <v>12</v>
      </c>
      <c r="J208" s="5" t="n">
        <f aca="false">H208-I208</f>
        <v>19</v>
      </c>
      <c r="K208" s="5" t="n">
        <f aca="false">ROUND(G208*J208,0)</f>
        <v>165</v>
      </c>
      <c r="L208" s="6" t="n">
        <f aca="false">ROUND(I208*G208*F208,2)</f>
        <v>5742</v>
      </c>
      <c r="M208" s="3" t="n">
        <v>34.4</v>
      </c>
      <c r="N208" s="5" t="n">
        <f aca="false">IFERROR(ROUND(K208/M208,2),0)</f>
        <v>4.8</v>
      </c>
      <c r="O208" s="3" t="s">
        <v>20</v>
      </c>
    </row>
    <row r="209" customFormat="false" ht="15" hidden="false" customHeight="false" outlineLevel="0" collapsed="false">
      <c r="A209" s="3" t="s">
        <v>23</v>
      </c>
      <c r="B209" s="3" t="s">
        <v>27</v>
      </c>
      <c r="C209" s="3" t="s">
        <v>47</v>
      </c>
      <c r="D209" s="3" t="s">
        <v>48</v>
      </c>
      <c r="E209" s="3" t="s">
        <v>49</v>
      </c>
      <c r="F209" s="4" t="n">
        <v>55</v>
      </c>
      <c r="G209" s="3" t="n">
        <v>9.7</v>
      </c>
      <c r="H209" s="3" t="n">
        <v>30</v>
      </c>
      <c r="I209" s="3" t="n">
        <v>8</v>
      </c>
      <c r="J209" s="5" t="n">
        <f aca="false">H209-I209</f>
        <v>22</v>
      </c>
      <c r="K209" s="5" t="n">
        <f aca="false">ROUND(G209*J209,0)</f>
        <v>213</v>
      </c>
      <c r="L209" s="6" t="n">
        <f aca="false">ROUND(I209*G209*F209,2)</f>
        <v>4268</v>
      </c>
      <c r="M209" s="3" t="n">
        <v>23.1</v>
      </c>
      <c r="N209" s="5" t="n">
        <f aca="false">IFERROR(ROUND(K209/M209,2),0)</f>
        <v>9.22</v>
      </c>
      <c r="O209" s="3" t="s">
        <v>20</v>
      </c>
    </row>
    <row r="210" customFormat="false" ht="15" hidden="false" customHeight="false" outlineLevel="0" collapsed="false">
      <c r="A210" s="3" t="s">
        <v>24</v>
      </c>
      <c r="B210" s="3" t="s">
        <v>27</v>
      </c>
      <c r="C210" s="3" t="s">
        <v>47</v>
      </c>
      <c r="D210" s="3" t="s">
        <v>48</v>
      </c>
      <c r="E210" s="3" t="s">
        <v>49</v>
      </c>
      <c r="F210" s="4" t="n">
        <v>55</v>
      </c>
      <c r="G210" s="3" t="n">
        <v>8.5</v>
      </c>
      <c r="H210" s="3" t="n">
        <v>31</v>
      </c>
      <c r="I210" s="3" t="n">
        <v>5</v>
      </c>
      <c r="J210" s="5" t="n">
        <f aca="false">H210-I210</f>
        <v>26</v>
      </c>
      <c r="K210" s="5" t="n">
        <f aca="false">ROUND(G210*J210,0)</f>
        <v>221</v>
      </c>
      <c r="L210" s="6" t="n">
        <f aca="false">ROUND(I210*G210*F210,2)</f>
        <v>2337.5</v>
      </c>
      <c r="M210" s="3" t="n">
        <v>22</v>
      </c>
      <c r="N210" s="5" t="n">
        <f aca="false">IFERROR(ROUND(K210/M210,2),0)</f>
        <v>10.05</v>
      </c>
      <c r="O210" s="3" t="s">
        <v>20</v>
      </c>
    </row>
    <row r="211" customFormat="false" ht="15" hidden="false" customHeight="false" outlineLevel="0" collapsed="false">
      <c r="A211" s="3" t="s">
        <v>25</v>
      </c>
      <c r="B211" s="3" t="s">
        <v>27</v>
      </c>
      <c r="C211" s="3" t="s">
        <v>47</v>
      </c>
      <c r="D211" s="3" t="s">
        <v>48</v>
      </c>
      <c r="E211" s="3" t="s">
        <v>49</v>
      </c>
      <c r="F211" s="4" t="n">
        <v>55</v>
      </c>
      <c r="G211" s="3" t="n">
        <v>9.6</v>
      </c>
      <c r="H211" s="3" t="n">
        <v>30</v>
      </c>
      <c r="I211" s="3" t="n">
        <v>11</v>
      </c>
      <c r="J211" s="5" t="n">
        <f aca="false">H211-I211</f>
        <v>19</v>
      </c>
      <c r="K211" s="5" t="n">
        <f aca="false">ROUND(G211*J211,0)</f>
        <v>182</v>
      </c>
      <c r="L211" s="6" t="n">
        <f aca="false">ROUND(I211*G211*F211,2)</f>
        <v>5808</v>
      </c>
      <c r="M211" s="3" t="n">
        <v>29.2</v>
      </c>
      <c r="N211" s="5" t="n">
        <f aca="false">IFERROR(ROUND(K211/M211,2),0)</f>
        <v>6.23</v>
      </c>
      <c r="O211" s="3" t="s">
        <v>20</v>
      </c>
    </row>
    <row r="212" customFormat="false" ht="15" hidden="false" customHeight="false" outlineLevel="0" collapsed="false">
      <c r="A212" s="3" t="s">
        <v>15</v>
      </c>
      <c r="B212" s="3" t="s">
        <v>28</v>
      </c>
      <c r="C212" s="3" t="s">
        <v>47</v>
      </c>
      <c r="D212" s="3" t="s">
        <v>48</v>
      </c>
      <c r="E212" s="3" t="s">
        <v>49</v>
      </c>
      <c r="F212" s="4" t="n">
        <v>55</v>
      </c>
      <c r="G212" s="3" t="n">
        <v>9.6</v>
      </c>
      <c r="H212" s="3" t="n">
        <v>31</v>
      </c>
      <c r="I212" s="3" t="n">
        <v>9</v>
      </c>
      <c r="J212" s="5" t="n">
        <f aca="false">H212-I212</f>
        <v>22</v>
      </c>
      <c r="K212" s="5" t="n">
        <f aca="false">ROUND(G212*J212,0)</f>
        <v>211</v>
      </c>
      <c r="L212" s="6" t="n">
        <f aca="false">ROUND(I212*G212*F212,2)</f>
        <v>4752</v>
      </c>
      <c r="M212" s="3" t="n">
        <v>15.7</v>
      </c>
      <c r="N212" s="5" t="n">
        <f aca="false">IFERROR(ROUND(K212/M212,2),0)</f>
        <v>13.44</v>
      </c>
      <c r="O212" s="3" t="s">
        <v>20</v>
      </c>
    </row>
    <row r="213" customFormat="false" ht="15" hidden="false" customHeight="false" outlineLevel="0" collapsed="false">
      <c r="A213" s="3" t="s">
        <v>21</v>
      </c>
      <c r="B213" s="3" t="s">
        <v>28</v>
      </c>
      <c r="C213" s="3" t="s">
        <v>47</v>
      </c>
      <c r="D213" s="3" t="s">
        <v>48</v>
      </c>
      <c r="E213" s="3" t="s">
        <v>49</v>
      </c>
      <c r="F213" s="4" t="n">
        <v>55</v>
      </c>
      <c r="G213" s="3" t="n">
        <v>10.5</v>
      </c>
      <c r="H213" s="3" t="n">
        <v>28</v>
      </c>
      <c r="I213" s="3" t="n">
        <v>6</v>
      </c>
      <c r="J213" s="5" t="n">
        <f aca="false">H213-I213</f>
        <v>22</v>
      </c>
      <c r="K213" s="5" t="n">
        <f aca="false">ROUND(G213*J213,0)</f>
        <v>231</v>
      </c>
      <c r="L213" s="6" t="n">
        <f aca="false">ROUND(I213*G213*F213,2)</f>
        <v>3465</v>
      </c>
      <c r="M213" s="3" t="n">
        <v>27.2</v>
      </c>
      <c r="N213" s="5" t="n">
        <f aca="false">IFERROR(ROUND(K213/M213,2),0)</f>
        <v>8.49</v>
      </c>
      <c r="O213" s="3" t="s">
        <v>20</v>
      </c>
    </row>
    <row r="214" customFormat="false" ht="15" hidden="false" customHeight="false" outlineLevel="0" collapsed="false">
      <c r="A214" s="3" t="s">
        <v>22</v>
      </c>
      <c r="B214" s="3" t="s">
        <v>28</v>
      </c>
      <c r="C214" s="3" t="s">
        <v>47</v>
      </c>
      <c r="D214" s="3" t="s">
        <v>48</v>
      </c>
      <c r="E214" s="3" t="s">
        <v>49</v>
      </c>
      <c r="F214" s="4" t="n">
        <v>55</v>
      </c>
      <c r="G214" s="3" t="n">
        <v>8.1</v>
      </c>
      <c r="H214" s="3" t="n">
        <v>31</v>
      </c>
      <c r="I214" s="3" t="n">
        <v>8</v>
      </c>
      <c r="J214" s="5" t="n">
        <f aca="false">H214-I214</f>
        <v>23</v>
      </c>
      <c r="K214" s="5" t="n">
        <f aca="false">ROUND(G214*J214,0)</f>
        <v>186</v>
      </c>
      <c r="L214" s="6" t="n">
        <f aca="false">ROUND(I214*G214*F214,2)</f>
        <v>3564</v>
      </c>
      <c r="M214" s="3" t="n">
        <v>23.5</v>
      </c>
      <c r="N214" s="5" t="n">
        <f aca="false">IFERROR(ROUND(K214/M214,2),0)</f>
        <v>7.91</v>
      </c>
      <c r="O214" s="3" t="s">
        <v>20</v>
      </c>
    </row>
    <row r="215" customFormat="false" ht="15" hidden="false" customHeight="false" outlineLevel="0" collapsed="false">
      <c r="A215" s="3" t="s">
        <v>23</v>
      </c>
      <c r="B215" s="3" t="s">
        <v>28</v>
      </c>
      <c r="C215" s="3" t="s">
        <v>47</v>
      </c>
      <c r="D215" s="3" t="s">
        <v>48</v>
      </c>
      <c r="E215" s="3" t="s">
        <v>49</v>
      </c>
      <c r="F215" s="4" t="n">
        <v>55</v>
      </c>
      <c r="G215" s="3" t="n">
        <v>10.6</v>
      </c>
      <c r="H215" s="3" t="n">
        <v>30</v>
      </c>
      <c r="I215" s="3" t="n">
        <v>8</v>
      </c>
      <c r="J215" s="5" t="n">
        <f aca="false">H215-I215</f>
        <v>22</v>
      </c>
      <c r="K215" s="5" t="n">
        <f aca="false">ROUND(G215*J215,0)</f>
        <v>233</v>
      </c>
      <c r="L215" s="6" t="n">
        <f aca="false">ROUND(I215*G215*F215,2)</f>
        <v>4664</v>
      </c>
      <c r="M215" s="3" t="n">
        <v>28.9</v>
      </c>
      <c r="N215" s="5" t="n">
        <f aca="false">IFERROR(ROUND(K215/M215,2),0)</f>
        <v>8.06</v>
      </c>
      <c r="O215" s="3" t="s">
        <v>20</v>
      </c>
    </row>
    <row r="216" customFormat="false" ht="15" hidden="false" customHeight="false" outlineLevel="0" collapsed="false">
      <c r="A216" s="3" t="s">
        <v>24</v>
      </c>
      <c r="B216" s="3" t="s">
        <v>28</v>
      </c>
      <c r="C216" s="3" t="s">
        <v>47</v>
      </c>
      <c r="D216" s="3" t="s">
        <v>48</v>
      </c>
      <c r="E216" s="3" t="s">
        <v>49</v>
      </c>
      <c r="F216" s="4" t="n">
        <v>55</v>
      </c>
      <c r="G216" s="3" t="n">
        <v>8.9</v>
      </c>
      <c r="H216" s="3" t="n">
        <v>31</v>
      </c>
      <c r="I216" s="3" t="n">
        <v>7</v>
      </c>
      <c r="J216" s="5" t="n">
        <f aca="false">H216-I216</f>
        <v>24</v>
      </c>
      <c r="K216" s="5" t="n">
        <f aca="false">ROUND(G216*J216,0)</f>
        <v>214</v>
      </c>
      <c r="L216" s="6" t="n">
        <f aca="false">ROUND(I216*G216*F216,2)</f>
        <v>3426.5</v>
      </c>
      <c r="M216" s="3" t="n">
        <v>17.1</v>
      </c>
      <c r="N216" s="5" t="n">
        <f aca="false">IFERROR(ROUND(K216/M216,2),0)</f>
        <v>12.51</v>
      </c>
      <c r="O216" s="3" t="s">
        <v>20</v>
      </c>
    </row>
    <row r="217" customFormat="false" ht="15" hidden="false" customHeight="false" outlineLevel="0" collapsed="false">
      <c r="A217" s="3" t="s">
        <v>25</v>
      </c>
      <c r="B217" s="3" t="s">
        <v>28</v>
      </c>
      <c r="C217" s="3" t="s">
        <v>47</v>
      </c>
      <c r="D217" s="3" t="s">
        <v>48</v>
      </c>
      <c r="E217" s="3" t="s">
        <v>49</v>
      </c>
      <c r="F217" s="4" t="n">
        <v>55</v>
      </c>
      <c r="G217" s="3" t="n">
        <v>9.9</v>
      </c>
      <c r="H217" s="3" t="n">
        <v>30</v>
      </c>
      <c r="I217" s="3" t="n">
        <v>11</v>
      </c>
      <c r="J217" s="5" t="n">
        <f aca="false">H217-I217</f>
        <v>19</v>
      </c>
      <c r="K217" s="5" t="n">
        <f aca="false">ROUND(G217*J217,0)</f>
        <v>188</v>
      </c>
      <c r="L217" s="6" t="n">
        <f aca="false">ROUND(I217*G217*F217,2)</f>
        <v>5989.5</v>
      </c>
      <c r="M217" s="3" t="n">
        <v>28.9</v>
      </c>
      <c r="N217" s="5" t="n">
        <f aca="false">IFERROR(ROUND(K217/M217,2),0)</f>
        <v>6.51</v>
      </c>
      <c r="O217" s="3" t="s">
        <v>20</v>
      </c>
    </row>
    <row r="218" customFormat="false" ht="15" hidden="false" customHeight="false" outlineLevel="0" collapsed="false">
      <c r="A218" s="3" t="s">
        <v>15</v>
      </c>
      <c r="B218" s="3" t="s">
        <v>16</v>
      </c>
      <c r="C218" s="3" t="s">
        <v>50</v>
      </c>
      <c r="D218" s="3" t="s">
        <v>51</v>
      </c>
      <c r="E218" s="3" t="s">
        <v>49</v>
      </c>
      <c r="F218" s="4" t="n">
        <v>15</v>
      </c>
      <c r="G218" s="3" t="n">
        <v>3.3</v>
      </c>
      <c r="H218" s="3" t="n">
        <v>31</v>
      </c>
      <c r="I218" s="3" t="n">
        <v>1</v>
      </c>
      <c r="J218" s="5" t="n">
        <f aca="false">H218-I218</f>
        <v>30</v>
      </c>
      <c r="K218" s="5" t="n">
        <f aca="false">ROUND(G218*J218,0)</f>
        <v>99</v>
      </c>
      <c r="L218" s="6" t="n">
        <f aca="false">ROUND(I218*G218*F218,2)</f>
        <v>49.5</v>
      </c>
      <c r="M218" s="3" t="n">
        <v>111.7</v>
      </c>
      <c r="N218" s="5" t="n">
        <f aca="false">IFERROR(ROUND(K218/M218,2),0)</f>
        <v>0.89</v>
      </c>
      <c r="O218" s="3" t="s">
        <v>31</v>
      </c>
    </row>
    <row r="219" customFormat="false" ht="15" hidden="false" customHeight="false" outlineLevel="0" collapsed="false">
      <c r="A219" s="3" t="s">
        <v>21</v>
      </c>
      <c r="B219" s="3" t="s">
        <v>16</v>
      </c>
      <c r="C219" s="3" t="s">
        <v>50</v>
      </c>
      <c r="D219" s="3" t="s">
        <v>51</v>
      </c>
      <c r="E219" s="3" t="s">
        <v>49</v>
      </c>
      <c r="F219" s="4" t="n">
        <v>15</v>
      </c>
      <c r="G219" s="3" t="n">
        <v>4.2</v>
      </c>
      <c r="H219" s="3" t="n">
        <v>28</v>
      </c>
      <c r="I219" s="3" t="n">
        <v>0</v>
      </c>
      <c r="J219" s="5" t="n">
        <f aca="false">H219-I219</f>
        <v>28</v>
      </c>
      <c r="K219" s="5" t="n">
        <f aca="false">ROUND(G219*J219,0)</f>
        <v>118</v>
      </c>
      <c r="L219" s="6" t="n">
        <f aca="false">ROUND(I219*G219*F219,2)</f>
        <v>0</v>
      </c>
      <c r="M219" s="3" t="n">
        <v>67.4</v>
      </c>
      <c r="N219" s="5" t="n">
        <f aca="false">IFERROR(ROUND(K219/M219,2),0)</f>
        <v>1.75</v>
      </c>
      <c r="O219" s="3" t="s">
        <v>31</v>
      </c>
    </row>
    <row r="220" customFormat="false" ht="15" hidden="false" customHeight="false" outlineLevel="0" collapsed="false">
      <c r="A220" s="3" t="s">
        <v>22</v>
      </c>
      <c r="B220" s="3" t="s">
        <v>16</v>
      </c>
      <c r="C220" s="3" t="s">
        <v>50</v>
      </c>
      <c r="D220" s="3" t="s">
        <v>51</v>
      </c>
      <c r="E220" s="3" t="s">
        <v>49</v>
      </c>
      <c r="F220" s="4" t="n">
        <v>15</v>
      </c>
      <c r="G220" s="3" t="n">
        <v>3.2</v>
      </c>
      <c r="H220" s="3" t="n">
        <v>31</v>
      </c>
      <c r="I220" s="3" t="n">
        <v>2</v>
      </c>
      <c r="J220" s="5" t="n">
        <f aca="false">H220-I220</f>
        <v>29</v>
      </c>
      <c r="K220" s="5" t="n">
        <f aca="false">ROUND(G220*J220,0)</f>
        <v>93</v>
      </c>
      <c r="L220" s="6" t="n">
        <f aca="false">ROUND(I220*G220*F220,2)</f>
        <v>96</v>
      </c>
      <c r="M220" s="3" t="n">
        <v>79.5</v>
      </c>
      <c r="N220" s="5" t="n">
        <f aca="false">IFERROR(ROUND(K220/M220,2),0)</f>
        <v>1.17</v>
      </c>
      <c r="O220" s="3" t="s">
        <v>31</v>
      </c>
    </row>
    <row r="221" customFormat="false" ht="15" hidden="false" customHeight="false" outlineLevel="0" collapsed="false">
      <c r="A221" s="3" t="s">
        <v>23</v>
      </c>
      <c r="B221" s="3" t="s">
        <v>16</v>
      </c>
      <c r="C221" s="3" t="s">
        <v>50</v>
      </c>
      <c r="D221" s="3" t="s">
        <v>51</v>
      </c>
      <c r="E221" s="3" t="s">
        <v>49</v>
      </c>
      <c r="F221" s="4" t="n">
        <v>15</v>
      </c>
      <c r="G221" s="3" t="n">
        <v>4.8</v>
      </c>
      <c r="H221" s="3" t="n">
        <v>30</v>
      </c>
      <c r="I221" s="3" t="n">
        <v>1</v>
      </c>
      <c r="J221" s="5" t="n">
        <f aca="false">H221-I221</f>
        <v>29</v>
      </c>
      <c r="K221" s="5" t="n">
        <f aca="false">ROUND(G221*J221,0)</f>
        <v>139</v>
      </c>
      <c r="L221" s="6" t="n">
        <f aca="false">ROUND(I221*G221*F221,2)</f>
        <v>72</v>
      </c>
      <c r="M221" s="3" t="n">
        <v>97.9</v>
      </c>
      <c r="N221" s="5" t="n">
        <f aca="false">IFERROR(ROUND(K221/M221,2),0)</f>
        <v>1.42</v>
      </c>
      <c r="O221" s="3" t="s">
        <v>31</v>
      </c>
    </row>
    <row r="222" customFormat="false" ht="15" hidden="false" customHeight="false" outlineLevel="0" collapsed="false">
      <c r="A222" s="3" t="s">
        <v>24</v>
      </c>
      <c r="B222" s="3" t="s">
        <v>16</v>
      </c>
      <c r="C222" s="3" t="s">
        <v>50</v>
      </c>
      <c r="D222" s="3" t="s">
        <v>51</v>
      </c>
      <c r="E222" s="3" t="s">
        <v>49</v>
      </c>
      <c r="F222" s="4" t="n">
        <v>15</v>
      </c>
      <c r="G222" s="3" t="n">
        <v>4.3</v>
      </c>
      <c r="H222" s="3" t="n">
        <v>31</v>
      </c>
      <c r="I222" s="3" t="n">
        <v>1</v>
      </c>
      <c r="J222" s="5" t="n">
        <f aca="false">H222-I222</f>
        <v>30</v>
      </c>
      <c r="K222" s="5" t="n">
        <f aca="false">ROUND(G222*J222,0)</f>
        <v>129</v>
      </c>
      <c r="L222" s="6" t="n">
        <f aca="false">ROUND(I222*G222*F222,2)</f>
        <v>64.5</v>
      </c>
      <c r="M222" s="3" t="n">
        <v>139.7</v>
      </c>
      <c r="N222" s="5" t="n">
        <f aca="false">IFERROR(ROUND(K222/M222,2),0)</f>
        <v>0.92</v>
      </c>
      <c r="O222" s="3" t="s">
        <v>31</v>
      </c>
    </row>
    <row r="223" customFormat="false" ht="15" hidden="false" customHeight="false" outlineLevel="0" collapsed="false">
      <c r="A223" s="3" t="s">
        <v>25</v>
      </c>
      <c r="B223" s="3" t="s">
        <v>16</v>
      </c>
      <c r="C223" s="3" t="s">
        <v>50</v>
      </c>
      <c r="D223" s="3" t="s">
        <v>51</v>
      </c>
      <c r="E223" s="3" t="s">
        <v>49</v>
      </c>
      <c r="F223" s="4" t="n">
        <v>15</v>
      </c>
      <c r="G223" s="3" t="n">
        <v>4.4</v>
      </c>
      <c r="H223" s="3" t="n">
        <v>30</v>
      </c>
      <c r="I223" s="3" t="n">
        <v>1</v>
      </c>
      <c r="J223" s="5" t="n">
        <f aca="false">H223-I223</f>
        <v>29</v>
      </c>
      <c r="K223" s="5" t="n">
        <f aca="false">ROUND(G223*J223,0)</f>
        <v>128</v>
      </c>
      <c r="L223" s="6" t="n">
        <f aca="false">ROUND(I223*G223*F223,2)</f>
        <v>66</v>
      </c>
      <c r="M223" s="3" t="n">
        <v>116.2</v>
      </c>
      <c r="N223" s="5" t="n">
        <f aca="false">IFERROR(ROUND(K223/M223,2),0)</f>
        <v>1.1</v>
      </c>
      <c r="O223" s="3" t="s">
        <v>31</v>
      </c>
    </row>
    <row r="224" customFormat="false" ht="15" hidden="false" customHeight="false" outlineLevel="0" collapsed="false">
      <c r="A224" s="3" t="s">
        <v>15</v>
      </c>
      <c r="B224" s="3" t="s">
        <v>26</v>
      </c>
      <c r="C224" s="3" t="s">
        <v>50</v>
      </c>
      <c r="D224" s="3" t="s">
        <v>51</v>
      </c>
      <c r="E224" s="3" t="s">
        <v>49</v>
      </c>
      <c r="F224" s="4" t="n">
        <v>15</v>
      </c>
      <c r="G224" s="3" t="n">
        <v>2.8</v>
      </c>
      <c r="H224" s="3" t="n">
        <v>31</v>
      </c>
      <c r="I224" s="3" t="n">
        <v>1</v>
      </c>
      <c r="J224" s="5" t="n">
        <f aca="false">H224-I224</f>
        <v>30</v>
      </c>
      <c r="K224" s="5" t="n">
        <f aca="false">ROUND(G224*J224,0)</f>
        <v>84</v>
      </c>
      <c r="L224" s="6" t="n">
        <f aca="false">ROUND(I224*G224*F224,2)</f>
        <v>42</v>
      </c>
      <c r="M224" s="3" t="n">
        <v>78.4</v>
      </c>
      <c r="N224" s="5" t="n">
        <f aca="false">IFERROR(ROUND(K224/M224,2),0)</f>
        <v>1.07</v>
      </c>
      <c r="O224" s="3" t="s">
        <v>31</v>
      </c>
    </row>
    <row r="225" customFormat="false" ht="15" hidden="false" customHeight="false" outlineLevel="0" collapsed="false">
      <c r="A225" s="3" t="s">
        <v>21</v>
      </c>
      <c r="B225" s="3" t="s">
        <v>26</v>
      </c>
      <c r="C225" s="3" t="s">
        <v>50</v>
      </c>
      <c r="D225" s="3" t="s">
        <v>51</v>
      </c>
      <c r="E225" s="3" t="s">
        <v>49</v>
      </c>
      <c r="F225" s="4" t="n">
        <v>15</v>
      </c>
      <c r="G225" s="3" t="n">
        <v>4.2</v>
      </c>
      <c r="H225" s="3" t="n">
        <v>28</v>
      </c>
      <c r="I225" s="3" t="n">
        <v>1</v>
      </c>
      <c r="J225" s="5" t="n">
        <f aca="false">H225-I225</f>
        <v>27</v>
      </c>
      <c r="K225" s="5" t="n">
        <f aca="false">ROUND(G225*J225,0)</f>
        <v>113</v>
      </c>
      <c r="L225" s="6" t="n">
        <f aca="false">ROUND(I225*G225*F225,2)</f>
        <v>63</v>
      </c>
      <c r="M225" s="3" t="n">
        <v>69.6</v>
      </c>
      <c r="N225" s="5" t="n">
        <f aca="false">IFERROR(ROUND(K225/M225,2),0)</f>
        <v>1.62</v>
      </c>
      <c r="O225" s="3" t="s">
        <v>31</v>
      </c>
    </row>
    <row r="226" customFormat="false" ht="15" hidden="false" customHeight="false" outlineLevel="0" collapsed="false">
      <c r="A226" s="3" t="s">
        <v>22</v>
      </c>
      <c r="B226" s="3" t="s">
        <v>26</v>
      </c>
      <c r="C226" s="3" t="s">
        <v>50</v>
      </c>
      <c r="D226" s="3" t="s">
        <v>51</v>
      </c>
      <c r="E226" s="3" t="s">
        <v>49</v>
      </c>
      <c r="F226" s="4" t="n">
        <v>15</v>
      </c>
      <c r="G226" s="3" t="n">
        <v>3.6</v>
      </c>
      <c r="H226" s="3" t="n">
        <v>31</v>
      </c>
      <c r="I226" s="3" t="n">
        <v>2</v>
      </c>
      <c r="J226" s="5" t="n">
        <f aca="false">H226-I226</f>
        <v>29</v>
      </c>
      <c r="K226" s="5" t="n">
        <f aca="false">ROUND(G226*J226,0)</f>
        <v>104</v>
      </c>
      <c r="L226" s="6" t="n">
        <f aca="false">ROUND(I226*G226*F226,2)</f>
        <v>108</v>
      </c>
      <c r="M226" s="3" t="n">
        <v>74.8</v>
      </c>
      <c r="N226" s="5" t="n">
        <f aca="false">IFERROR(ROUND(K226/M226,2),0)</f>
        <v>1.39</v>
      </c>
      <c r="O226" s="3" t="s">
        <v>31</v>
      </c>
    </row>
    <row r="227" customFormat="false" ht="15" hidden="false" customHeight="false" outlineLevel="0" collapsed="false">
      <c r="A227" s="3" t="s">
        <v>23</v>
      </c>
      <c r="B227" s="3" t="s">
        <v>26</v>
      </c>
      <c r="C227" s="3" t="s">
        <v>50</v>
      </c>
      <c r="D227" s="3" t="s">
        <v>51</v>
      </c>
      <c r="E227" s="3" t="s">
        <v>49</v>
      </c>
      <c r="F227" s="4" t="n">
        <v>15</v>
      </c>
      <c r="G227" s="3" t="n">
        <v>2.6</v>
      </c>
      <c r="H227" s="3" t="n">
        <v>30</v>
      </c>
      <c r="I227" s="3" t="n">
        <v>1</v>
      </c>
      <c r="J227" s="5" t="n">
        <f aca="false">H227-I227</f>
        <v>29</v>
      </c>
      <c r="K227" s="5" t="n">
        <f aca="false">ROUND(G227*J227,0)</f>
        <v>75</v>
      </c>
      <c r="L227" s="6" t="n">
        <f aca="false">ROUND(I227*G227*F227,2)</f>
        <v>39</v>
      </c>
      <c r="M227" s="3" t="n">
        <v>82.1</v>
      </c>
      <c r="N227" s="5" t="n">
        <f aca="false">IFERROR(ROUND(K227/M227,2),0)</f>
        <v>0.91</v>
      </c>
      <c r="O227" s="3" t="s">
        <v>31</v>
      </c>
    </row>
    <row r="228" customFormat="false" ht="15" hidden="false" customHeight="false" outlineLevel="0" collapsed="false">
      <c r="A228" s="3" t="s">
        <v>24</v>
      </c>
      <c r="B228" s="3" t="s">
        <v>26</v>
      </c>
      <c r="C228" s="3" t="s">
        <v>50</v>
      </c>
      <c r="D228" s="3" t="s">
        <v>51</v>
      </c>
      <c r="E228" s="3" t="s">
        <v>49</v>
      </c>
      <c r="F228" s="4" t="n">
        <v>15</v>
      </c>
      <c r="G228" s="3" t="n">
        <v>3.8</v>
      </c>
      <c r="H228" s="3" t="n">
        <v>31</v>
      </c>
      <c r="I228" s="3" t="n">
        <v>2</v>
      </c>
      <c r="J228" s="5" t="n">
        <f aca="false">H228-I228</f>
        <v>29</v>
      </c>
      <c r="K228" s="5" t="n">
        <f aca="false">ROUND(G228*J228,0)</f>
        <v>110</v>
      </c>
      <c r="L228" s="6" t="n">
        <f aca="false">ROUND(I228*G228*F228,2)</f>
        <v>114</v>
      </c>
      <c r="M228" s="3" t="n">
        <v>107.7</v>
      </c>
      <c r="N228" s="5" t="n">
        <f aca="false">IFERROR(ROUND(K228/M228,2),0)</f>
        <v>1.02</v>
      </c>
      <c r="O228" s="3" t="s">
        <v>31</v>
      </c>
    </row>
    <row r="229" customFormat="false" ht="15" hidden="false" customHeight="false" outlineLevel="0" collapsed="false">
      <c r="A229" s="3" t="s">
        <v>25</v>
      </c>
      <c r="B229" s="3" t="s">
        <v>26</v>
      </c>
      <c r="C229" s="3" t="s">
        <v>50</v>
      </c>
      <c r="D229" s="3" t="s">
        <v>51</v>
      </c>
      <c r="E229" s="3" t="s">
        <v>49</v>
      </c>
      <c r="F229" s="4" t="n">
        <v>15</v>
      </c>
      <c r="G229" s="3" t="n">
        <v>4.9</v>
      </c>
      <c r="H229" s="3" t="n">
        <v>30</v>
      </c>
      <c r="I229" s="3" t="n">
        <v>0</v>
      </c>
      <c r="J229" s="5" t="n">
        <f aca="false">H229-I229</f>
        <v>30</v>
      </c>
      <c r="K229" s="5" t="n">
        <f aca="false">ROUND(G229*J229,0)</f>
        <v>147</v>
      </c>
      <c r="L229" s="6" t="n">
        <f aca="false">ROUND(I229*G229*F229,2)</f>
        <v>0</v>
      </c>
      <c r="M229" s="3" t="n">
        <v>83.7</v>
      </c>
      <c r="N229" s="5" t="n">
        <f aca="false">IFERROR(ROUND(K229/M229,2),0)</f>
        <v>1.76</v>
      </c>
      <c r="O229" s="3" t="s">
        <v>31</v>
      </c>
    </row>
    <row r="230" customFormat="false" ht="15" hidden="false" customHeight="false" outlineLevel="0" collapsed="false">
      <c r="A230" s="3" t="s">
        <v>15</v>
      </c>
      <c r="B230" s="3" t="s">
        <v>27</v>
      </c>
      <c r="C230" s="3" t="s">
        <v>50</v>
      </c>
      <c r="D230" s="3" t="s">
        <v>51</v>
      </c>
      <c r="E230" s="3" t="s">
        <v>49</v>
      </c>
      <c r="F230" s="4" t="n">
        <v>15</v>
      </c>
      <c r="G230" s="3" t="n">
        <v>2.8</v>
      </c>
      <c r="H230" s="3" t="n">
        <v>31</v>
      </c>
      <c r="I230" s="3" t="n">
        <v>1</v>
      </c>
      <c r="J230" s="5" t="n">
        <f aca="false">H230-I230</f>
        <v>30</v>
      </c>
      <c r="K230" s="5" t="n">
        <f aca="false">ROUND(G230*J230,0)</f>
        <v>84</v>
      </c>
      <c r="L230" s="6" t="n">
        <f aca="false">ROUND(I230*G230*F230,2)</f>
        <v>42</v>
      </c>
      <c r="M230" s="3" t="n">
        <v>61.1</v>
      </c>
      <c r="N230" s="5" t="n">
        <f aca="false">IFERROR(ROUND(K230/M230,2),0)</f>
        <v>1.37</v>
      </c>
      <c r="O230" s="3" t="s">
        <v>31</v>
      </c>
    </row>
    <row r="231" customFormat="false" ht="15" hidden="false" customHeight="false" outlineLevel="0" collapsed="false">
      <c r="A231" s="3" t="s">
        <v>21</v>
      </c>
      <c r="B231" s="3" t="s">
        <v>27</v>
      </c>
      <c r="C231" s="3" t="s">
        <v>50</v>
      </c>
      <c r="D231" s="3" t="s">
        <v>51</v>
      </c>
      <c r="E231" s="3" t="s">
        <v>49</v>
      </c>
      <c r="F231" s="4" t="n">
        <v>15</v>
      </c>
      <c r="G231" s="3" t="n">
        <v>3.2</v>
      </c>
      <c r="H231" s="3" t="n">
        <v>28</v>
      </c>
      <c r="I231" s="3" t="n">
        <v>1</v>
      </c>
      <c r="J231" s="5" t="n">
        <f aca="false">H231-I231</f>
        <v>27</v>
      </c>
      <c r="K231" s="5" t="n">
        <f aca="false">ROUND(G231*J231,0)</f>
        <v>86</v>
      </c>
      <c r="L231" s="6" t="n">
        <f aca="false">ROUND(I231*G231*F231,2)</f>
        <v>48</v>
      </c>
      <c r="M231" s="3" t="n">
        <v>63.6</v>
      </c>
      <c r="N231" s="5" t="n">
        <f aca="false">IFERROR(ROUND(K231/M231,2),0)</f>
        <v>1.35</v>
      </c>
      <c r="O231" s="3" t="s">
        <v>31</v>
      </c>
    </row>
    <row r="232" customFormat="false" ht="15" hidden="false" customHeight="false" outlineLevel="0" collapsed="false">
      <c r="A232" s="3" t="s">
        <v>22</v>
      </c>
      <c r="B232" s="3" t="s">
        <v>27</v>
      </c>
      <c r="C232" s="3" t="s">
        <v>50</v>
      </c>
      <c r="D232" s="3" t="s">
        <v>51</v>
      </c>
      <c r="E232" s="3" t="s">
        <v>49</v>
      </c>
      <c r="F232" s="4" t="n">
        <v>15</v>
      </c>
      <c r="G232" s="3" t="n">
        <v>1.9</v>
      </c>
      <c r="H232" s="3" t="n">
        <v>31</v>
      </c>
      <c r="I232" s="3" t="n">
        <v>1</v>
      </c>
      <c r="J232" s="5" t="n">
        <f aca="false">H232-I232</f>
        <v>30</v>
      </c>
      <c r="K232" s="5" t="n">
        <f aca="false">ROUND(G232*J232,0)</f>
        <v>57</v>
      </c>
      <c r="L232" s="6" t="n">
        <f aca="false">ROUND(I232*G232*F232,2)</f>
        <v>28.5</v>
      </c>
      <c r="M232" s="3" t="n">
        <v>115.8</v>
      </c>
      <c r="N232" s="5" t="n">
        <f aca="false">IFERROR(ROUND(K232/M232,2),0)</f>
        <v>0.49</v>
      </c>
      <c r="O232" s="3" t="s">
        <v>31</v>
      </c>
    </row>
    <row r="233" customFormat="false" ht="15" hidden="false" customHeight="false" outlineLevel="0" collapsed="false">
      <c r="A233" s="3" t="s">
        <v>23</v>
      </c>
      <c r="B233" s="3" t="s">
        <v>27</v>
      </c>
      <c r="C233" s="3" t="s">
        <v>50</v>
      </c>
      <c r="D233" s="3" t="s">
        <v>51</v>
      </c>
      <c r="E233" s="3" t="s">
        <v>49</v>
      </c>
      <c r="F233" s="4" t="n">
        <v>15</v>
      </c>
      <c r="G233" s="3" t="n">
        <v>2.1</v>
      </c>
      <c r="H233" s="3" t="n">
        <v>30</v>
      </c>
      <c r="I233" s="3" t="n">
        <v>1</v>
      </c>
      <c r="J233" s="5" t="n">
        <f aca="false">H233-I233</f>
        <v>29</v>
      </c>
      <c r="K233" s="5" t="n">
        <f aca="false">ROUND(G233*J233,0)</f>
        <v>61</v>
      </c>
      <c r="L233" s="6" t="n">
        <f aca="false">ROUND(I233*G233*F233,2)</f>
        <v>31.5</v>
      </c>
      <c r="M233" s="3" t="n">
        <v>68.2</v>
      </c>
      <c r="N233" s="5" t="n">
        <f aca="false">IFERROR(ROUND(K233/M233,2),0)</f>
        <v>0.89</v>
      </c>
      <c r="O233" s="3" t="s">
        <v>31</v>
      </c>
    </row>
    <row r="234" customFormat="false" ht="15" hidden="false" customHeight="false" outlineLevel="0" collapsed="false">
      <c r="A234" s="3" t="s">
        <v>24</v>
      </c>
      <c r="B234" s="3" t="s">
        <v>27</v>
      </c>
      <c r="C234" s="3" t="s">
        <v>50</v>
      </c>
      <c r="D234" s="3" t="s">
        <v>51</v>
      </c>
      <c r="E234" s="3" t="s">
        <v>49</v>
      </c>
      <c r="F234" s="4" t="n">
        <v>15</v>
      </c>
      <c r="G234" s="3" t="n">
        <v>1.8</v>
      </c>
      <c r="H234" s="3" t="n">
        <v>31</v>
      </c>
      <c r="I234" s="3" t="n">
        <v>1</v>
      </c>
      <c r="J234" s="5" t="n">
        <f aca="false">H234-I234</f>
        <v>30</v>
      </c>
      <c r="K234" s="5" t="n">
        <f aca="false">ROUND(G234*J234,0)</f>
        <v>54</v>
      </c>
      <c r="L234" s="6" t="n">
        <f aca="false">ROUND(I234*G234*F234,2)</f>
        <v>27</v>
      </c>
      <c r="M234" s="3" t="n">
        <v>97.6</v>
      </c>
      <c r="N234" s="5" t="n">
        <f aca="false">IFERROR(ROUND(K234/M234,2),0)</f>
        <v>0.55</v>
      </c>
      <c r="O234" s="3" t="s">
        <v>31</v>
      </c>
    </row>
    <row r="235" customFormat="false" ht="15" hidden="false" customHeight="false" outlineLevel="0" collapsed="false">
      <c r="A235" s="3" t="s">
        <v>25</v>
      </c>
      <c r="B235" s="3" t="s">
        <v>27</v>
      </c>
      <c r="C235" s="3" t="s">
        <v>50</v>
      </c>
      <c r="D235" s="3" t="s">
        <v>51</v>
      </c>
      <c r="E235" s="3" t="s">
        <v>49</v>
      </c>
      <c r="F235" s="4" t="n">
        <v>15</v>
      </c>
      <c r="G235" s="3" t="n">
        <v>3</v>
      </c>
      <c r="H235" s="3" t="n">
        <v>30</v>
      </c>
      <c r="I235" s="3" t="n">
        <v>0</v>
      </c>
      <c r="J235" s="5" t="n">
        <f aca="false">H235-I235</f>
        <v>30</v>
      </c>
      <c r="K235" s="5" t="n">
        <f aca="false">ROUND(G235*J235,0)</f>
        <v>90</v>
      </c>
      <c r="L235" s="6" t="n">
        <f aca="false">ROUND(I235*G235*F235,2)</f>
        <v>0</v>
      </c>
      <c r="M235" s="3" t="n">
        <v>137.2</v>
      </c>
      <c r="N235" s="5" t="n">
        <f aca="false">IFERROR(ROUND(K235/M235,2),0)</f>
        <v>0.66</v>
      </c>
      <c r="O235" s="3" t="s">
        <v>31</v>
      </c>
    </row>
    <row r="236" customFormat="false" ht="15" hidden="false" customHeight="false" outlineLevel="0" collapsed="false">
      <c r="A236" s="3" t="s">
        <v>15</v>
      </c>
      <c r="B236" s="3" t="s">
        <v>28</v>
      </c>
      <c r="C236" s="3" t="s">
        <v>50</v>
      </c>
      <c r="D236" s="3" t="s">
        <v>51</v>
      </c>
      <c r="E236" s="3" t="s">
        <v>49</v>
      </c>
      <c r="F236" s="4" t="n">
        <v>15</v>
      </c>
      <c r="G236" s="3" t="n">
        <v>2.2</v>
      </c>
      <c r="H236" s="3" t="n">
        <v>31</v>
      </c>
      <c r="I236" s="3" t="n">
        <v>1</v>
      </c>
      <c r="J236" s="5" t="n">
        <f aca="false">H236-I236</f>
        <v>30</v>
      </c>
      <c r="K236" s="5" t="n">
        <f aca="false">ROUND(G236*J236,0)</f>
        <v>66</v>
      </c>
      <c r="L236" s="6" t="n">
        <f aca="false">ROUND(I236*G236*F236,2)</f>
        <v>33</v>
      </c>
      <c r="M236" s="3" t="n">
        <v>69.1</v>
      </c>
      <c r="N236" s="5" t="n">
        <f aca="false">IFERROR(ROUND(K236/M236,2),0)</f>
        <v>0.96</v>
      </c>
      <c r="O236" s="3" t="s">
        <v>31</v>
      </c>
    </row>
    <row r="237" customFormat="false" ht="15" hidden="false" customHeight="false" outlineLevel="0" collapsed="false">
      <c r="A237" s="3" t="s">
        <v>21</v>
      </c>
      <c r="B237" s="3" t="s">
        <v>28</v>
      </c>
      <c r="C237" s="3" t="s">
        <v>50</v>
      </c>
      <c r="D237" s="3" t="s">
        <v>51</v>
      </c>
      <c r="E237" s="3" t="s">
        <v>49</v>
      </c>
      <c r="F237" s="4" t="n">
        <v>15</v>
      </c>
      <c r="G237" s="3" t="n">
        <v>1.8</v>
      </c>
      <c r="H237" s="3" t="n">
        <v>28</v>
      </c>
      <c r="I237" s="3" t="n">
        <v>1</v>
      </c>
      <c r="J237" s="5" t="n">
        <f aca="false">H237-I237</f>
        <v>27</v>
      </c>
      <c r="K237" s="5" t="n">
        <f aca="false">ROUND(G237*J237,0)</f>
        <v>49</v>
      </c>
      <c r="L237" s="6" t="n">
        <f aca="false">ROUND(I237*G237*F237,2)</f>
        <v>27</v>
      </c>
      <c r="M237" s="3" t="n">
        <v>65.9</v>
      </c>
      <c r="N237" s="5" t="n">
        <f aca="false">IFERROR(ROUND(K237/M237,2),0)</f>
        <v>0.74</v>
      </c>
      <c r="O237" s="3" t="s">
        <v>31</v>
      </c>
    </row>
    <row r="238" customFormat="false" ht="15" hidden="false" customHeight="false" outlineLevel="0" collapsed="false">
      <c r="A238" s="3" t="s">
        <v>22</v>
      </c>
      <c r="B238" s="3" t="s">
        <v>28</v>
      </c>
      <c r="C238" s="3" t="s">
        <v>50</v>
      </c>
      <c r="D238" s="3" t="s">
        <v>51</v>
      </c>
      <c r="E238" s="3" t="s">
        <v>49</v>
      </c>
      <c r="F238" s="4" t="n">
        <v>15</v>
      </c>
      <c r="G238" s="3" t="n">
        <v>3.1</v>
      </c>
      <c r="H238" s="3" t="n">
        <v>31</v>
      </c>
      <c r="I238" s="3" t="n">
        <v>0</v>
      </c>
      <c r="J238" s="5" t="n">
        <f aca="false">H238-I238</f>
        <v>31</v>
      </c>
      <c r="K238" s="5" t="n">
        <f aca="false">ROUND(G238*J238,0)</f>
        <v>96</v>
      </c>
      <c r="L238" s="6" t="n">
        <f aca="false">ROUND(I238*G238*F238,2)</f>
        <v>0</v>
      </c>
      <c r="M238" s="3" t="n">
        <v>72.1</v>
      </c>
      <c r="N238" s="5" t="n">
        <f aca="false">IFERROR(ROUND(K238/M238,2),0)</f>
        <v>1.33</v>
      </c>
      <c r="O238" s="3" t="s">
        <v>31</v>
      </c>
    </row>
    <row r="239" customFormat="false" ht="15" hidden="false" customHeight="false" outlineLevel="0" collapsed="false">
      <c r="A239" s="3" t="s">
        <v>23</v>
      </c>
      <c r="B239" s="3" t="s">
        <v>28</v>
      </c>
      <c r="C239" s="3" t="s">
        <v>50</v>
      </c>
      <c r="D239" s="3" t="s">
        <v>51</v>
      </c>
      <c r="E239" s="3" t="s">
        <v>49</v>
      </c>
      <c r="F239" s="4" t="n">
        <v>15</v>
      </c>
      <c r="G239" s="3" t="n">
        <v>3.5</v>
      </c>
      <c r="H239" s="3" t="n">
        <v>30</v>
      </c>
      <c r="I239" s="3" t="n">
        <v>1</v>
      </c>
      <c r="J239" s="5" t="n">
        <f aca="false">H239-I239</f>
        <v>29</v>
      </c>
      <c r="K239" s="5" t="n">
        <f aca="false">ROUND(G239*J239,0)</f>
        <v>102</v>
      </c>
      <c r="L239" s="6" t="n">
        <f aca="false">ROUND(I239*G239*F239,2)</f>
        <v>52.5</v>
      </c>
      <c r="M239" s="3" t="n">
        <v>66.8</v>
      </c>
      <c r="N239" s="5" t="n">
        <f aca="false">IFERROR(ROUND(K239/M239,2),0)</f>
        <v>1.53</v>
      </c>
      <c r="O239" s="3" t="s">
        <v>31</v>
      </c>
    </row>
    <row r="240" customFormat="false" ht="15" hidden="false" customHeight="false" outlineLevel="0" collapsed="false">
      <c r="A240" s="3" t="s">
        <v>24</v>
      </c>
      <c r="B240" s="3" t="s">
        <v>28</v>
      </c>
      <c r="C240" s="3" t="s">
        <v>50</v>
      </c>
      <c r="D240" s="3" t="s">
        <v>51</v>
      </c>
      <c r="E240" s="3" t="s">
        <v>49</v>
      </c>
      <c r="F240" s="4" t="n">
        <v>15</v>
      </c>
      <c r="G240" s="3" t="n">
        <v>2.2</v>
      </c>
      <c r="H240" s="3" t="n">
        <v>31</v>
      </c>
      <c r="I240" s="3" t="n">
        <v>2</v>
      </c>
      <c r="J240" s="5" t="n">
        <f aca="false">H240-I240</f>
        <v>29</v>
      </c>
      <c r="K240" s="5" t="n">
        <f aca="false">ROUND(G240*J240,0)</f>
        <v>64</v>
      </c>
      <c r="L240" s="6" t="n">
        <f aca="false">ROUND(I240*G240*F240,2)</f>
        <v>66</v>
      </c>
      <c r="M240" s="3" t="n">
        <v>121.2</v>
      </c>
      <c r="N240" s="5" t="n">
        <f aca="false">IFERROR(ROUND(K240/M240,2),0)</f>
        <v>0.53</v>
      </c>
      <c r="O240" s="3" t="s">
        <v>31</v>
      </c>
    </row>
    <row r="241" customFormat="false" ht="15" hidden="false" customHeight="false" outlineLevel="0" collapsed="false">
      <c r="A241" s="3" t="s">
        <v>25</v>
      </c>
      <c r="B241" s="3" t="s">
        <v>28</v>
      </c>
      <c r="C241" s="3" t="s">
        <v>50</v>
      </c>
      <c r="D241" s="3" t="s">
        <v>51</v>
      </c>
      <c r="E241" s="3" t="s">
        <v>49</v>
      </c>
      <c r="F241" s="4" t="n">
        <v>15</v>
      </c>
      <c r="G241" s="3" t="n">
        <v>3.1</v>
      </c>
      <c r="H241" s="3" t="n">
        <v>30</v>
      </c>
      <c r="I241" s="3" t="n">
        <v>2</v>
      </c>
      <c r="J241" s="5" t="n">
        <f aca="false">H241-I241</f>
        <v>28</v>
      </c>
      <c r="K241" s="5" t="n">
        <f aca="false">ROUND(G241*J241,0)</f>
        <v>87</v>
      </c>
      <c r="L241" s="6" t="n">
        <f aca="false">ROUND(I241*G241*F241,2)</f>
        <v>93</v>
      </c>
      <c r="M241" s="3" t="n">
        <v>78.1</v>
      </c>
      <c r="N241" s="5" t="n">
        <f aca="false">IFERROR(ROUND(K241/M241,2),0)</f>
        <v>1.11</v>
      </c>
      <c r="O241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23.85" hidden="false" customHeight="false" outlineLevel="0" collapsed="false">
      <c r="A1" s="7" t="s">
        <v>4</v>
      </c>
      <c r="B1" s="7" t="s">
        <v>52</v>
      </c>
      <c r="C1" s="7" t="s">
        <v>53</v>
      </c>
      <c r="D1" s="7" t="s">
        <v>54</v>
      </c>
      <c r="E1" s="7" t="s">
        <v>55</v>
      </c>
    </row>
    <row r="2" customFormat="false" ht="15" hidden="false" customHeight="false" outlineLevel="0" collapsed="false">
      <c r="A2" s="3" t="s">
        <v>34</v>
      </c>
      <c r="B2" s="8" t="n">
        <f aca="false">SUMIF('Raw Data'!$E$2:$E$241,A2,'Raw Data'!$L$2:$L$241)</f>
        <v>124443</v>
      </c>
      <c r="C2" s="5" t="n">
        <f aca="false">SUMIF('Raw Data'!$E$2:$E$241,A2,'Raw Data'!$K$2:$K$241)</f>
        <v>8218</v>
      </c>
      <c r="D2" s="5" t="n">
        <f aca="false">ROUND(AVERAGEIF('Raw Data'!$E$2:$E$241,A2,'Raw Data'!$I$2:$I$241),1)</f>
        <v>4.5</v>
      </c>
      <c r="E2" s="5" t="n">
        <f aca="false">ROUND(AVERAGEIF('Raw Data'!$E$2:$E$241,A2,'Raw Data'!$N$2:$N$241),2)</f>
        <v>5.42</v>
      </c>
    </row>
    <row r="3" customFormat="false" ht="15" hidden="false" customHeight="false" outlineLevel="0" collapsed="false">
      <c r="A3" s="3" t="s">
        <v>49</v>
      </c>
      <c r="B3" s="8" t="n">
        <f aca="false">SUMIF('Raw Data'!$E$2:$E$241,A3,'Raw Data'!$L$2:$L$241)</f>
        <v>109331</v>
      </c>
      <c r="C3" s="5" t="n">
        <f aca="false">SUMIF('Raw Data'!$E$2:$E$241,A3,'Raw Data'!$K$2:$K$241)</f>
        <v>8070</v>
      </c>
      <c r="D3" s="5" t="n">
        <f aca="false">ROUND(AVERAGEIF('Raw Data'!$E$2:$E$241,A3,'Raw Data'!$I$2:$I$241),1)</f>
        <v>4.4</v>
      </c>
      <c r="E3" s="5" t="n">
        <f aca="false">ROUND(AVERAGEIF('Raw Data'!$E$2:$E$241,A3,'Raw Data'!$N$2:$N$241),2)</f>
        <v>5.4</v>
      </c>
    </row>
    <row r="4" customFormat="false" ht="15" hidden="false" customHeight="false" outlineLevel="0" collapsed="false">
      <c r="A4" s="3" t="s">
        <v>19</v>
      </c>
      <c r="B4" s="8" t="n">
        <f aca="false">SUMIF('Raw Data'!$E$2:$E$241,A4,'Raw Data'!$L$2:$L$241)</f>
        <v>88360.5</v>
      </c>
      <c r="C4" s="5" t="n">
        <f aca="false">SUMIF('Raw Data'!$E$2:$E$241,A4,'Raw Data'!$K$2:$K$241)</f>
        <v>8215</v>
      </c>
      <c r="D4" s="5" t="n">
        <f aca="false">ROUND(AVERAGEIF('Raw Data'!$E$2:$E$241,A4,'Raw Data'!$I$2:$I$241),1)</f>
        <v>4.3</v>
      </c>
      <c r="E4" s="5" t="n">
        <f aca="false">ROUND(AVERAGEIF('Raw Data'!$E$2:$E$241,A4,'Raw Data'!$N$2:$N$241),2)</f>
        <v>5.52</v>
      </c>
    </row>
    <row r="5" customFormat="false" ht="15" hidden="false" customHeight="false" outlineLevel="0" collapsed="false">
      <c r="A5" s="3" t="s">
        <v>44</v>
      </c>
      <c r="B5" s="8" t="n">
        <f aca="false">SUMIF('Raw Data'!$E$2:$E$241,A5,'Raw Data'!$L$2:$L$241)</f>
        <v>67755.8</v>
      </c>
      <c r="C5" s="5" t="n">
        <f aca="false">SUMIF('Raw Data'!$E$2:$E$241,A5,'Raw Data'!$K$2:$K$241)</f>
        <v>7771</v>
      </c>
      <c r="D5" s="5" t="n">
        <f aca="false">ROUND(AVERAGEIF('Raw Data'!$E$2:$E$241,A5,'Raw Data'!$I$2:$I$241),1)</f>
        <v>5</v>
      </c>
      <c r="E5" s="5" t="n">
        <f aca="false">ROUND(AVERAGEIF('Raw Data'!$E$2:$E$241,A5,'Raw Data'!$N$2:$N$241),2)</f>
        <v>4.76</v>
      </c>
    </row>
    <row r="6" customFormat="false" ht="15" hidden="false" customHeight="false" outlineLevel="0" collapsed="false">
      <c r="A6" s="3" t="s">
        <v>39</v>
      </c>
      <c r="B6" s="8" t="n">
        <f aca="false">SUMIF('Raw Data'!$E$2:$E$241,A6,'Raw Data'!$L$2:$L$241)</f>
        <v>53679</v>
      </c>
      <c r="C6" s="5" t="n">
        <f aca="false">SUMIF('Raw Data'!$E$2:$E$241,A6,'Raw Data'!$K$2:$K$241)</f>
        <v>8309</v>
      </c>
      <c r="D6" s="5" t="n">
        <f aca="false">ROUND(AVERAGEIF('Raw Data'!$E$2:$E$241,A6,'Raw Data'!$I$2:$I$241),1)</f>
        <v>4.5</v>
      </c>
      <c r="E6" s="5" t="n">
        <f aca="false">ROUND(AVERAGEIF('Raw Data'!$E$2:$E$241,A6,'Raw Data'!$N$2:$N$241),2)</f>
        <v>5.4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23.85" hidden="false" customHeight="false" outlineLevel="0" collapsed="false">
      <c r="A1" s="7" t="s">
        <v>2</v>
      </c>
      <c r="B1" s="7" t="s">
        <v>3</v>
      </c>
      <c r="C1" s="7" t="s">
        <v>4</v>
      </c>
      <c r="D1" s="7" t="s">
        <v>14</v>
      </c>
      <c r="E1" s="7" t="s">
        <v>52</v>
      </c>
      <c r="F1" s="7" t="s">
        <v>53</v>
      </c>
      <c r="G1" s="7" t="s">
        <v>54</v>
      </c>
      <c r="H1" s="7" t="s">
        <v>55</v>
      </c>
    </row>
    <row r="2" customFormat="false" ht="15" hidden="false" customHeight="false" outlineLevel="0" collapsed="false">
      <c r="A2" s="3" t="s">
        <v>32</v>
      </c>
      <c r="B2" s="3" t="s">
        <v>33</v>
      </c>
      <c r="C2" s="3" t="s">
        <v>34</v>
      </c>
      <c r="D2" s="3" t="s">
        <v>20</v>
      </c>
      <c r="E2" s="8" t="n">
        <f aca="false">SUMIF('Raw Data'!$C$2:$C$241,A2,'Raw Data'!$L$2:$L$241)</f>
        <v>122958</v>
      </c>
      <c r="F2" s="5" t="n">
        <f aca="false">SUMIF('Raw Data'!$C$2:$C$241,A2,'Raw Data'!$K$2:$K$241)</f>
        <v>5585</v>
      </c>
      <c r="G2" s="5" t="n">
        <f aca="false">ROUND(AVERAGEIF('Raw Data'!$C$2:$C$241,A2,'Raw Data'!$I$2:$I$241),1)</f>
        <v>8.2</v>
      </c>
      <c r="H2" s="5" t="n">
        <f aca="false">ROUND(AVERAGEIF('Raw Data'!$C$2:$C$241,A2,'Raw Data'!$N$2:$N$241),2)</f>
        <v>9.67</v>
      </c>
    </row>
    <row r="3" customFormat="false" ht="15" hidden="false" customHeight="false" outlineLevel="0" collapsed="false">
      <c r="A3" s="3" t="s">
        <v>47</v>
      </c>
      <c r="B3" s="3" t="s">
        <v>48</v>
      </c>
      <c r="C3" s="3" t="s">
        <v>49</v>
      </c>
      <c r="D3" s="3" t="s">
        <v>20</v>
      </c>
      <c r="E3" s="8" t="n">
        <f aca="false">SUMIF('Raw Data'!$C$2:$C$241,A3,'Raw Data'!$L$2:$L$241)</f>
        <v>108168.5</v>
      </c>
      <c r="F3" s="5" t="n">
        <f aca="false">SUMIF('Raw Data'!$C$2:$C$241,A3,'Raw Data'!$K$2:$K$241)</f>
        <v>5835</v>
      </c>
      <c r="G3" s="5" t="n">
        <f aca="false">ROUND(AVERAGEIF('Raw Data'!$C$2:$C$241,A3,'Raw Data'!$I$2:$I$241),1)</f>
        <v>7.8</v>
      </c>
      <c r="H3" s="5" t="n">
        <f aca="false">ROUND(AVERAGEIF('Raw Data'!$C$2:$C$241,A3,'Raw Data'!$N$2:$N$241),2)</f>
        <v>9.7</v>
      </c>
    </row>
    <row r="4" customFormat="false" ht="15" hidden="false" customHeight="false" outlineLevel="0" collapsed="false">
      <c r="A4" s="3" t="s">
        <v>17</v>
      </c>
      <c r="B4" s="3" t="s">
        <v>18</v>
      </c>
      <c r="C4" s="3" t="s">
        <v>19</v>
      </c>
      <c r="D4" s="3" t="s">
        <v>20</v>
      </c>
      <c r="E4" s="8" t="n">
        <f aca="false">SUMIF('Raw Data'!$C$2:$C$241,A4,'Raw Data'!$L$2:$L$241)</f>
        <v>86413.5</v>
      </c>
      <c r="F4" s="5" t="n">
        <f aca="false">SUMIF('Raw Data'!$C$2:$C$241,A4,'Raw Data'!$K$2:$K$241)</f>
        <v>5798</v>
      </c>
      <c r="G4" s="5" t="n">
        <f aca="false">ROUND(AVERAGEIF('Raw Data'!$C$2:$C$241,A4,'Raw Data'!$I$2:$I$241),1)</f>
        <v>7.5</v>
      </c>
      <c r="H4" s="5" t="n">
        <f aca="false">ROUND(AVERAGEIF('Raw Data'!$C$2:$C$241,A4,'Raw Data'!$N$2:$N$241),2)</f>
        <v>9.98</v>
      </c>
    </row>
    <row r="5" customFormat="false" ht="15" hidden="false" customHeight="false" outlineLevel="0" collapsed="false">
      <c r="A5" s="3" t="s">
        <v>42</v>
      </c>
      <c r="B5" s="3" t="s">
        <v>43</v>
      </c>
      <c r="C5" s="3" t="s">
        <v>44</v>
      </c>
      <c r="D5" s="3" t="s">
        <v>20</v>
      </c>
      <c r="E5" s="8" t="n">
        <f aca="false">SUMIF('Raw Data'!$C$2:$C$241,A5,'Raw Data'!$L$2:$L$241)</f>
        <v>65060.8</v>
      </c>
      <c r="F5" s="5" t="n">
        <f aca="false">SUMIF('Raw Data'!$C$2:$C$241,A5,'Raw Data'!$K$2:$K$241)</f>
        <v>5569</v>
      </c>
      <c r="G5" s="5" t="n">
        <f aca="false">ROUND(AVERAGEIF('Raw Data'!$C$2:$C$241,A5,'Raw Data'!$I$2:$I$241),1)</f>
        <v>9.1</v>
      </c>
      <c r="H5" s="5" t="n">
        <f aca="false">ROUND(AVERAGEIF('Raw Data'!$C$2:$C$241,A5,'Raw Data'!$N$2:$N$241),2)</f>
        <v>8.48</v>
      </c>
    </row>
    <row r="6" customFormat="false" ht="15" hidden="false" customHeight="false" outlineLevel="0" collapsed="false">
      <c r="A6" s="3" t="s">
        <v>37</v>
      </c>
      <c r="B6" s="3" t="s">
        <v>38</v>
      </c>
      <c r="C6" s="3" t="s">
        <v>39</v>
      </c>
      <c r="D6" s="3" t="s">
        <v>20</v>
      </c>
      <c r="E6" s="8" t="n">
        <f aca="false">SUMIF('Raw Data'!$C$2:$C$241,A6,'Raw Data'!$L$2:$L$241)</f>
        <v>51875</v>
      </c>
      <c r="F6" s="5" t="n">
        <f aca="false">SUMIF('Raw Data'!$C$2:$C$241,A6,'Raw Data'!$K$2:$K$241)</f>
        <v>5645</v>
      </c>
      <c r="G6" s="5" t="n">
        <f aca="false">ROUND(AVERAGEIF('Raw Data'!$C$2:$C$241,A6,'Raw Data'!$I$2:$I$241),1)</f>
        <v>7.9</v>
      </c>
      <c r="H6" s="5" t="n">
        <f aca="false">ROUND(AVERAGEIF('Raw Data'!$C$2:$C$241,A6,'Raw Data'!$N$2:$N$241),2)</f>
        <v>9.57</v>
      </c>
    </row>
    <row r="7" customFormat="false" ht="15" hidden="false" customHeight="false" outlineLevel="0" collapsed="false">
      <c r="A7" s="3" t="s">
        <v>45</v>
      </c>
      <c r="B7" s="3" t="s">
        <v>46</v>
      </c>
      <c r="C7" s="3" t="s">
        <v>44</v>
      </c>
      <c r="D7" s="3" t="s">
        <v>31</v>
      </c>
      <c r="E7" s="8" t="n">
        <f aca="false">SUMIF('Raw Data'!$C$2:$C$241,A7,'Raw Data'!$L$2:$L$241)</f>
        <v>2695</v>
      </c>
      <c r="F7" s="5" t="n">
        <f aca="false">SUMIF('Raw Data'!$C$2:$C$241,A7,'Raw Data'!$K$2:$K$241)</f>
        <v>2202</v>
      </c>
      <c r="G7" s="5" t="n">
        <f aca="false">ROUND(AVERAGEIF('Raw Data'!$C$2:$C$241,A7,'Raw Data'!$I$2:$I$241),1)</f>
        <v>0.9</v>
      </c>
      <c r="H7" s="5" t="n">
        <f aca="false">ROUND(AVERAGEIF('Raw Data'!$C$2:$C$241,A7,'Raw Data'!$N$2:$N$241),2)</f>
        <v>1.03</v>
      </c>
    </row>
    <row r="8" customFormat="false" ht="15" hidden="false" customHeight="false" outlineLevel="0" collapsed="false">
      <c r="A8" s="3" t="s">
        <v>29</v>
      </c>
      <c r="B8" s="3" t="s">
        <v>30</v>
      </c>
      <c r="C8" s="3" t="s">
        <v>19</v>
      </c>
      <c r="D8" s="3" t="s">
        <v>31</v>
      </c>
      <c r="E8" s="8" t="n">
        <f aca="false">SUMIF('Raw Data'!$C$2:$C$241,A8,'Raw Data'!$L$2:$L$241)</f>
        <v>1947</v>
      </c>
      <c r="F8" s="5" t="n">
        <f aca="false">SUMIF('Raw Data'!$C$2:$C$241,A8,'Raw Data'!$K$2:$K$241)</f>
        <v>2417</v>
      </c>
      <c r="G8" s="5" t="n">
        <f aca="false">ROUND(AVERAGEIF('Raw Data'!$C$2:$C$241,A8,'Raw Data'!$I$2:$I$241),1)</f>
        <v>1.1</v>
      </c>
      <c r="H8" s="5" t="n">
        <f aca="false">ROUND(AVERAGEIF('Raw Data'!$C$2:$C$241,A8,'Raw Data'!$N$2:$N$241),2)</f>
        <v>1.07</v>
      </c>
    </row>
    <row r="9" customFormat="false" ht="15" hidden="false" customHeight="false" outlineLevel="0" collapsed="false">
      <c r="A9" s="3" t="s">
        <v>40</v>
      </c>
      <c r="B9" s="3" t="s">
        <v>41</v>
      </c>
      <c r="C9" s="3" t="s">
        <v>39</v>
      </c>
      <c r="D9" s="3" t="s">
        <v>31</v>
      </c>
      <c r="E9" s="8" t="n">
        <f aca="false">SUMIF('Raw Data'!$C$2:$C$241,A9,'Raw Data'!$L$2:$L$241)</f>
        <v>1804</v>
      </c>
      <c r="F9" s="5" t="n">
        <f aca="false">SUMIF('Raw Data'!$C$2:$C$241,A9,'Raw Data'!$K$2:$K$241)</f>
        <v>2664</v>
      </c>
      <c r="G9" s="5" t="n">
        <f aca="false">ROUND(AVERAGEIF('Raw Data'!$C$2:$C$241,A9,'Raw Data'!$I$2:$I$241),1)</f>
        <v>1</v>
      </c>
      <c r="H9" s="5" t="n">
        <f aca="false">ROUND(AVERAGEIF('Raw Data'!$C$2:$C$241,A9,'Raw Data'!$N$2:$N$241),2)</f>
        <v>1.22</v>
      </c>
    </row>
    <row r="10" customFormat="false" ht="15" hidden="false" customHeight="false" outlineLevel="0" collapsed="false">
      <c r="A10" s="3" t="s">
        <v>35</v>
      </c>
      <c r="B10" s="3" t="s">
        <v>36</v>
      </c>
      <c r="C10" s="3" t="s">
        <v>34</v>
      </c>
      <c r="D10" s="3" t="s">
        <v>31</v>
      </c>
      <c r="E10" s="8" t="n">
        <f aca="false">SUMIF('Raw Data'!$C$2:$C$241,A10,'Raw Data'!$L$2:$L$241)</f>
        <v>1485</v>
      </c>
      <c r="F10" s="5" t="n">
        <f aca="false">SUMIF('Raw Data'!$C$2:$C$241,A10,'Raw Data'!$K$2:$K$241)</f>
        <v>2633</v>
      </c>
      <c r="G10" s="5" t="n">
        <f aca="false">ROUND(AVERAGEIF('Raw Data'!$C$2:$C$241,A10,'Raw Data'!$I$2:$I$241),1)</f>
        <v>0.9</v>
      </c>
      <c r="H10" s="5" t="n">
        <f aca="false">ROUND(AVERAGEIF('Raw Data'!$C$2:$C$241,A10,'Raw Data'!$N$2:$N$241),2)</f>
        <v>1.16</v>
      </c>
    </row>
    <row r="11" customFormat="false" ht="15" hidden="false" customHeight="false" outlineLevel="0" collapsed="false">
      <c r="A11" s="3" t="s">
        <v>50</v>
      </c>
      <c r="B11" s="3" t="s">
        <v>51</v>
      </c>
      <c r="C11" s="3" t="s">
        <v>49</v>
      </c>
      <c r="D11" s="3" t="s">
        <v>31</v>
      </c>
      <c r="E11" s="8" t="n">
        <f aca="false">SUMIF('Raw Data'!$C$2:$C$241,A11,'Raw Data'!$L$2:$L$241)</f>
        <v>1162.5</v>
      </c>
      <c r="F11" s="5" t="n">
        <f aca="false">SUMIF('Raw Data'!$C$2:$C$241,A11,'Raw Data'!$K$2:$K$241)</f>
        <v>2235</v>
      </c>
      <c r="G11" s="5" t="n">
        <f aca="false">ROUND(AVERAGEIF('Raw Data'!$C$2:$C$241,A11,'Raw Data'!$I$2:$I$241),1)</f>
        <v>1</v>
      </c>
      <c r="H11" s="5" t="n">
        <f aca="false">ROUND(AVERAGEIF('Raw Data'!$C$2:$C$241,A11,'Raw Data'!$N$2:$N$241),2)</f>
        <v>1.11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1</v>
      </c>
      <c r="B1" s="1" t="s">
        <v>52</v>
      </c>
      <c r="C1" s="1" t="s">
        <v>53</v>
      </c>
    </row>
    <row r="2" customFormat="false" ht="15" hidden="false" customHeight="false" outlineLevel="0" collapsed="false">
      <c r="A2" s="3" t="s">
        <v>16</v>
      </c>
      <c r="B2" s="8" t="n">
        <f aca="false">SUMIF('Raw Data'!$B$2:$B$241,A2,'Raw Data'!$L$2:$L$241)</f>
        <v>141511.2</v>
      </c>
      <c r="C2" s="5" t="n">
        <f aca="false">SUMIF('Raw Data'!$B$2:$B$241,A2,'Raw Data'!$K$2:$K$241)</f>
        <v>12291</v>
      </c>
    </row>
    <row r="3" customFormat="false" ht="15" hidden="false" customHeight="false" outlineLevel="0" collapsed="false">
      <c r="A3" s="3" t="s">
        <v>27</v>
      </c>
      <c r="B3" s="8" t="n">
        <f aca="false">SUMIF('Raw Data'!$B$2:$B$241,A3,'Raw Data'!$L$2:$L$241)</f>
        <v>114182</v>
      </c>
      <c r="C3" s="5" t="n">
        <f aca="false">SUMIF('Raw Data'!$B$2:$B$241,A3,'Raw Data'!$K$2:$K$241)</f>
        <v>9144</v>
      </c>
    </row>
    <row r="4" customFormat="false" ht="15" hidden="false" customHeight="false" outlineLevel="0" collapsed="false">
      <c r="A4" s="3" t="s">
        <v>26</v>
      </c>
      <c r="B4" s="8" t="n">
        <f aca="false">SUMIF('Raw Data'!$B$2:$B$241,A4,'Raw Data'!$L$2:$L$241)</f>
        <v>95711.7</v>
      </c>
      <c r="C4" s="5" t="n">
        <f aca="false">SUMIF('Raw Data'!$B$2:$B$241,A4,'Raw Data'!$K$2:$K$241)</f>
        <v>10853</v>
      </c>
    </row>
    <row r="5" customFormat="false" ht="15" hidden="false" customHeight="false" outlineLevel="0" collapsed="false">
      <c r="A5" s="3" t="s">
        <v>28</v>
      </c>
      <c r="B5" s="8" t="n">
        <f aca="false">SUMIF('Raw Data'!$B$2:$B$241,A5,'Raw Data'!$L$2:$L$241)</f>
        <v>92164.4</v>
      </c>
      <c r="C5" s="5" t="n">
        <f aca="false">SUMIF('Raw Data'!$B$2:$B$241,A5,'Raw Data'!$K$2:$K$241)</f>
        <v>8295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1" t="s">
        <v>0</v>
      </c>
      <c r="B1" s="1" t="s">
        <v>52</v>
      </c>
    </row>
    <row r="2" customFormat="false" ht="15" hidden="false" customHeight="false" outlineLevel="0" collapsed="false">
      <c r="A2" s="3" t="s">
        <v>15</v>
      </c>
      <c r="B2" s="8" t="n">
        <f aca="false">SUMIF('Raw Data'!$A$2:$A$241,A2,'Raw Data'!$L$2:$L$241)</f>
        <v>77942.3</v>
      </c>
    </row>
    <row r="3" customFormat="false" ht="15" hidden="false" customHeight="false" outlineLevel="0" collapsed="false">
      <c r="A3" s="3" t="s">
        <v>21</v>
      </c>
      <c r="B3" s="8" t="n">
        <f aca="false">SUMIF('Raw Data'!$A$2:$A$241,A3,'Raw Data'!$L$2:$L$241)</f>
        <v>74741.6</v>
      </c>
    </row>
    <row r="4" customFormat="false" ht="15" hidden="false" customHeight="false" outlineLevel="0" collapsed="false">
      <c r="A4" s="3" t="s">
        <v>22</v>
      </c>
      <c r="B4" s="8" t="n">
        <f aca="false">SUMIF('Raw Data'!$A$2:$A$241,A4,'Raw Data'!$L$2:$L$241)</f>
        <v>72658.7</v>
      </c>
    </row>
    <row r="5" customFormat="false" ht="15" hidden="false" customHeight="false" outlineLevel="0" collapsed="false">
      <c r="A5" s="3" t="s">
        <v>23</v>
      </c>
      <c r="B5" s="8" t="n">
        <f aca="false">SUMIF('Raw Data'!$A$2:$A$241,A5,'Raw Data'!$L$2:$L$241)</f>
        <v>72906.5</v>
      </c>
    </row>
    <row r="6" customFormat="false" ht="15" hidden="false" customHeight="false" outlineLevel="0" collapsed="false">
      <c r="A6" s="3" t="s">
        <v>24</v>
      </c>
      <c r="B6" s="8" t="n">
        <f aca="false">SUMIF('Raw Data'!$A$2:$A$241,A6,'Raw Data'!$L$2:$L$241)</f>
        <v>66454.1</v>
      </c>
    </row>
    <row r="7" customFormat="false" ht="15" hidden="false" customHeight="false" outlineLevel="0" collapsed="false">
      <c r="A7" s="3" t="s">
        <v>25</v>
      </c>
      <c r="B7" s="8" t="n">
        <f aca="false">SUMIF('Raw Data'!$A$2:$A$241,A7,'Raw Data'!$L$2:$L$241)</f>
        <v>78866.1</v>
      </c>
    </row>
    <row r="9" customFormat="false" ht="15" hidden="false" customHeight="false" outlineLevel="0" collapsed="false">
      <c r="A9" s="9" t="s">
        <v>56</v>
      </c>
      <c r="B9" s="10" t="n">
        <f aca="false">SUM(B2:B7)</f>
        <v>443569.3</v>
      </c>
    </row>
    <row r="10" customFormat="false" ht="15" hidden="false" customHeight="false" outlineLevel="0" collapsed="false">
      <c r="A10" s="11" t="s">
        <v>57</v>
      </c>
      <c r="B10" s="12" t="n">
        <f aca="false">B9*2</f>
        <v>887138.6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1" style="0" width="30"/>
    <col collapsed="false" customWidth="true" hidden="false" outlineLevel="0" max="13" min="13" style="0" width="14"/>
  </cols>
  <sheetData>
    <row r="1" customFormat="false" ht="17.35" hidden="false" customHeight="false" outlineLevel="0" collapsed="false">
      <c r="A1" s="13" t="s">
        <v>58</v>
      </c>
    </row>
    <row r="2" customFormat="false" ht="15" hidden="false" customHeight="false" outlineLevel="0" collapsed="false">
      <c r="A2" s="14" t="s">
        <v>59</v>
      </c>
    </row>
    <row r="4" customFormat="false" ht="15" hidden="false" customHeight="false" outlineLevel="0" collapsed="false">
      <c r="K4" s="15" t="s">
        <v>60</v>
      </c>
    </row>
    <row r="22" customFormat="false" ht="15" hidden="false" customHeight="false" outlineLevel="0" collapsed="false">
      <c r="K22" s="16" t="s">
        <v>61</v>
      </c>
      <c r="M22" s="17" t="n">
        <f aca="false">'Month Summary'!B9</f>
        <v>443569.3</v>
      </c>
    </row>
    <row r="23" customFormat="false" ht="15" hidden="false" customHeight="false" outlineLevel="0" collapsed="false">
      <c r="K23" s="16" t="s">
        <v>62</v>
      </c>
      <c r="M23" s="17" t="n">
        <f aca="false">'Month Summary'!B10</f>
        <v>887138.6</v>
      </c>
    </row>
    <row r="24" customFormat="false" ht="15" hidden="false" customHeight="false" outlineLevel="0" collapsed="false">
      <c r="K24" s="16" t="s">
        <v>63</v>
      </c>
      <c r="M24" s="18" t="n">
        <f aca="false">ROUND(AVERAGEIF('Raw Data'!O2:O241,"fast",'Raw Data'!N2:N241),2)</f>
        <v>9.48</v>
      </c>
    </row>
    <row r="25" customFormat="false" ht="15" hidden="false" customHeight="false" outlineLevel="0" collapsed="false">
      <c r="K25" s="16" t="s">
        <v>64</v>
      </c>
      <c r="M25" s="18" t="n">
        <f aca="false">ROUND(AVERAGEIF('Raw Data'!O2:O241,"slow",'Raw Data'!N2:N241),2)</f>
        <v>1.12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3" t="s">
        <v>65</v>
      </c>
    </row>
    <row r="2" customFormat="false" ht="15" hidden="false" customHeight="false" outlineLevel="0" collapsed="false">
      <c r="A2" s="19"/>
    </row>
    <row r="3" customFormat="false" ht="15" hidden="false" customHeight="false" outlineLevel="0" collapsed="false">
      <c r="A3" s="19" t="s">
        <v>66</v>
      </c>
    </row>
    <row r="4" customFormat="false" ht="15" hidden="false" customHeight="false" outlineLevel="0" collapsed="false">
      <c r="A4" s="19" t="s">
        <v>67</v>
      </c>
    </row>
    <row r="5" customFormat="false" ht="15" hidden="false" customHeight="false" outlineLevel="0" collapsed="false">
      <c r="A5" s="19" t="s">
        <v>68</v>
      </c>
    </row>
    <row r="6" customFormat="false" ht="15" hidden="false" customHeight="false" outlineLevel="0" collapsed="false">
      <c r="A6" s="19" t="s">
        <v>69</v>
      </c>
    </row>
    <row r="7" customFormat="false" ht="15" hidden="false" customHeight="false" outlineLevel="0" collapsed="false">
      <c r="A7" s="19" t="s">
        <v>70</v>
      </c>
    </row>
    <row r="8" customFormat="false" ht="15" hidden="false" customHeight="false" outlineLevel="0" collapsed="false">
      <c r="A8" s="19" t="s">
        <v>71</v>
      </c>
    </row>
    <row r="9" customFormat="false" ht="15" hidden="false" customHeight="false" outlineLevel="0" collapsed="false">
      <c r="A9" s="19" t="s">
        <v>72</v>
      </c>
    </row>
    <row r="10" customFormat="false" ht="15" hidden="false" customHeight="false" outlineLevel="0" collapsed="false">
      <c r="A10" s="19" t="s">
        <v>73</v>
      </c>
    </row>
    <row r="11" customFormat="false" ht="15" hidden="false" customHeight="false" outlineLevel="0" collapsed="false">
      <c r="A11" s="19" t="s">
        <v>74</v>
      </c>
    </row>
    <row r="12" customFormat="false" ht="15" hidden="false" customHeight="false" outlineLevel="0" collapsed="false">
      <c r="A12" s="19" t="s">
        <v>75</v>
      </c>
    </row>
    <row r="13" customFormat="false" ht="15" hidden="false" customHeight="false" outlineLevel="0" collapsed="false">
      <c r="A13" s="19" t="s">
        <v>76</v>
      </c>
    </row>
    <row r="14" customFormat="false" ht="15" hidden="false" customHeight="false" outlineLevel="0" collapsed="false">
      <c r="A14" s="19" t="s">
        <v>77</v>
      </c>
    </row>
    <row r="15" customFormat="false" ht="15" hidden="false" customHeight="false" outlineLevel="0" collapsed="false">
      <c r="A15" s="19" t="s">
        <v>78</v>
      </c>
    </row>
    <row r="16" customFormat="false" ht="15" hidden="false" customHeight="false" outlineLevel="0" collapsed="false">
      <c r="A16" s="19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2026-09-24T07:57:14Z</dcterms:created>
  <dc:creator>openpyxl</dc:creator>
  <dc:description/>
  <dc:language>en-US</dc:language>
  <cp:lastModifiedBy/>
  <dcterms:modified xsi:type="dcterms:W3CDTF">2026-09-24T07:57:20Z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